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ULTAD\PROYECTO FINAL\Informe\Diagrama de Gantt\"/>
    </mc:Choice>
  </mc:AlternateContent>
  <xr:revisionPtr revIDLastSave="0" documentId="13_ncr:1_{B5ACA98A-49DB-40FB-8F91-D5E617F04D54}" xr6:coauthVersionLast="47" xr6:coauthVersionMax="47" xr10:uidLastSave="{00000000-0000-0000-0000-000000000000}"/>
  <bookViews>
    <workbookView xWindow="-120" yWindow="-120" windowWidth="29040" windowHeight="15720" xr2:uid="{C0684A92-9BE0-44B3-ACAD-43A9653F3E9D}"/>
  </bookViews>
  <sheets>
    <sheet name="Gantt inicial" sheetId="2" r:id="rId1"/>
  </sheets>
  <externalReferences>
    <externalReference r:id="rId2"/>
  </externalReferences>
  <definedNames>
    <definedName name="Display_Week">'[1]RED INDUSTRIAL'!$G$4</definedName>
    <definedName name="Project_Start">'[1]RED INDUSTRIAL'!$G$3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 s="1"/>
  <c r="E2" i="2" l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</calcChain>
</file>

<file path=xl/sharedStrings.xml><?xml version="1.0" encoding="utf-8"?>
<sst xmlns="http://schemas.openxmlformats.org/spreadsheetml/2006/main" count="105" uniqueCount="93">
  <si>
    <t>FI-UNLZ</t>
  </si>
  <si>
    <t>PROYECTO:</t>
  </si>
  <si>
    <t>-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</si>
  <si>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</si>
  <si>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</si>
  <si>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</si>
  <si>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</si>
  <si>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</si>
  <si>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</si>
  <si>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</si>
  <si>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</si>
  <si>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</si>
  <si>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</si>
  <si>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</si>
  <si>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</si>
  <si>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</si>
  <si>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</si>
  <si>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</si>
  <si>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</si>
  <si>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</si>
  <si>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</si>
  <si>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</si>
  <si>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</si>
  <si>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</si>
  <si>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</si>
  <si>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</si>
  <si>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</si>
  <si>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</si>
  <si>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</si>
  <si>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</si>
  <si>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</si>
  <si>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</si>
  <si>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</si>
  <si>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</si>
  <si>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</si>
  <si>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</si>
  <si>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</si>
  <si>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</si>
  <si>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</si>
  <si>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</si>
  <si>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</si>
  <si>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</si>
  <si>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</si>
  <si>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</si>
  <si>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</si>
  <si>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</si>
  <si>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KUKO DELTA CARBON</t>
  </si>
  <si>
    <t>Inicio de Actividades</t>
  </si>
  <si>
    <t>GAP</t>
  </si>
  <si>
    <t>Licitación</t>
  </si>
  <si>
    <t>Propuesta, estudio e investigación de idea</t>
  </si>
  <si>
    <t>Compras</t>
  </si>
  <si>
    <t>Desarrollo de croquis y dimensionamiento del robot</t>
  </si>
  <si>
    <t>Compra de materiales en el exterior</t>
  </si>
  <si>
    <t>Compra de materiales interna</t>
  </si>
  <si>
    <t>Compra de materiales en el exterior 2</t>
  </si>
  <si>
    <t>Ensablaje y primeras pruebas del brazo</t>
  </si>
  <si>
    <t>Programación básica del brazo</t>
  </si>
  <si>
    <t>Hito 1: 1er Entrega Parcial - Primeras Pruebas</t>
  </si>
  <si>
    <t>Evalación de errores y corrección</t>
  </si>
  <si>
    <t>Integrar SmartVision a la Webcam</t>
  </si>
  <si>
    <t>Ensamblar cinta e integrarla al programa</t>
  </si>
  <si>
    <t>Ajustes pre-entrega</t>
  </si>
  <si>
    <t xml:space="preserve">Hito 2: 2da Entrega Parcial - 60% del desarrollo </t>
  </si>
  <si>
    <t>Ajustes finales</t>
  </si>
  <si>
    <t>Entrega del Proyecto</t>
  </si>
  <si>
    <t>FIN</t>
  </si>
  <si>
    <t>Notas</t>
  </si>
  <si>
    <t>Hito 1:</t>
  </si>
  <si>
    <t>Presentación del brazo robótico ensamblado. Primeros pasos de programación. Control de motores. Prueba de rigidez estructural.</t>
  </si>
  <si>
    <t>Hito 2:</t>
  </si>
  <si>
    <t>Integración de cinta transportadora y WebCam al robot. Visión artificial funcional. Programación avanzada. Cinematica inversa del brazo. Control de posición automática.</t>
  </si>
  <si>
    <t>Final del proyecto:</t>
  </si>
  <si>
    <t>Demostración funcional. Sistema Pick and Place con robot Delta. Control a lazo cerrado. Agarre neumático por ventosa en movimiento. Clasificación por SmartVision.</t>
  </si>
  <si>
    <t>- Estudio de Documentación</t>
  </si>
  <si>
    <t>- Reunión de Lanzamiento</t>
  </si>
  <si>
    <t>- Lista de registros Modbus TCP</t>
  </si>
  <si>
    <t>- Diseño y doc. de Gestión de Recetas y Ordenes de Trabajo</t>
  </si>
  <si>
    <t>4</t>
  </si>
  <si>
    <t>- Presentación de Ingeniería</t>
  </si>
  <si>
    <t>Tareas previas: config VMs, inst. de software y licencias</t>
  </si>
  <si>
    <t>Implementación</t>
  </si>
  <si>
    <t xml:space="preserve">- Config VMs, inst. de software y licencias </t>
  </si>
  <si>
    <t>- Desarrollo de pantallas</t>
  </si>
  <si>
    <t>- Mapeo de señales y vinculación con faceplates [PLC]</t>
  </si>
  <si>
    <t>- Validación con SG</t>
  </si>
  <si>
    <t>- Parametros, Alarmas e Historicos</t>
  </si>
  <si>
    <t>- Gestión de Recetas y Ordenes de Trabajo</t>
  </si>
  <si>
    <t>- Ajustes Finales</t>
  </si>
  <si>
    <t xml:space="preserve">- Pruebas FAT con SG (Planta ) </t>
  </si>
  <si>
    <t xml:space="preserve">- Pruebas SAT con SG (Planta) </t>
  </si>
  <si>
    <t>- Puesta en marcha y validación de funcionamiento por SG</t>
  </si>
  <si>
    <t>PEM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</si>
</sst>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5" fillId="2" borderId="1" xfId="1" applyFont="1" applyFill="1" applyBorder="1" applyAlignment="1">
      <alignment horizontal="center" vertical="center" textRotation="90" wrapText="1"/>
    </xf>
    <xf numFmtId="0" fontId="1" fillId="0" borderId="0" xfId="1"/>
    <xf numFmtId="0" fontId="7" fillId="5" borderId="1" xfId="1" applyFont="1" applyFill="1" applyBorder="1"/>
    <xf numFmtId="0" fontId="2" fillId="5" borderId="1" xfId="1" applyFont="1" applyFill="1" applyBorder="1"/>
    <xf numFmtId="0" fontId="1" fillId="0" borderId="1" xfId="1" applyBorder="1"/>
    <xf numFmtId="49" fontId="1" fillId="6" borderId="1" xfId="1" applyNumberFormat="1" applyFill="1" applyBorder="1"/>
    <xf numFmtId="49" fontId="1" fillId="7" borderId="1" xfId="1" applyNumberFormat="1" applyFill="1" applyBorder="1"/>
    <xf numFmtId="49" fontId="1" fillId="0" borderId="1" xfId="1" applyNumberFormat="1" applyBorder="1"/>
    <xf numFmtId="49" fontId="1" fillId="5" borderId="1" xfId="1" applyNumberFormat="1" applyFill="1" applyBorder="1"/>
    <xf numFmtId="49" fontId="1" fillId="8" borderId="1" xfId="1" applyNumberFormat="1" applyFill="1" applyBorder="1" applyAlignment="1">
      <alignment horizontal="center" vertical="center"/>
    </xf>
    <xf numFmtId="0" fontId="1" fillId="0" borderId="1" xfId="1" quotePrefix="1" applyBorder="1" applyAlignment="1">
      <alignment horizontal="left" indent="2"/>
    </xf>
    <xf numFmtId="0" fontId="3" fillId="0" borderId="1" xfId="0" quotePrefix="1" applyFont="1" applyBorder="1" applyAlignment="1">
      <alignment horizontal="left"/>
    </xf>
    <xf numFmtId="0" fontId="1" fillId="9" borderId="1" xfId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8" fillId="4" borderId="1" xfId="1" applyFont="1" applyFill="1" applyBorder="1" applyAlignment="1">
      <alignment horizontal="center" vertical="center" wrapText="1" shrinkToFit="1"/>
    </xf>
    <xf numFmtId="0" fontId="9" fillId="0" borderId="1" xfId="1" applyFont="1" applyBorder="1" applyAlignment="1">
      <alignment wrapText="1"/>
    </xf>
    <xf numFmtId="0" fontId="1" fillId="0" borderId="1" xfId="1" applyBorder="1" applyAlignment="1">
      <alignment horizontal="center" vertical="center"/>
    </xf>
    <xf numFmtId="0" fontId="2" fillId="0" borderId="0" xfId="1" applyFont="1"/>
    <xf numFmtId="0" fontId="3" fillId="0" borderId="1" xfId="0" applyFont="1" applyBorder="1" applyAlignment="1">
      <alignment horizontal="left" indent="1"/>
    </xf>
    <xf numFmtId="0" fontId="0" fillId="10" borderId="1" xfId="1" applyFont="1" applyFill="1" applyBorder="1" applyAlignment="1">
      <alignment horizontal="left" vertical="center"/>
    </xf>
    <xf numFmtId="0" fontId="10" fillId="0" borderId="1" xfId="0" quotePrefix="1" applyFont="1" applyBorder="1" applyAlignment="1">
      <alignment horizontal="left"/>
    </xf>
    <xf numFmtId="0" fontId="1" fillId="0" borderId="1" xfId="1" quotePrefix="1" applyBorder="1" applyAlignment="1">
      <alignment horizontal="left"/>
    </xf>
    <xf numFmtId="0" fontId="1" fillId="11" borderId="1" xfId="1" applyFill="1" applyBorder="1"/>
    <xf numFmtId="0" fontId="1" fillId="0" borderId="2" xfId="1" applyBorder="1"/>
    <xf numFmtId="0" fontId="3" fillId="0" borderId="3" xfId="0" quotePrefix="1" applyFont="1" applyBorder="1" applyAlignment="1">
      <alignment horizontal="left"/>
    </xf>
    <xf numFmtId="0" fontId="1" fillId="0" borderId="3" xfId="1" applyBorder="1"/>
    <xf numFmtId="0" fontId="10" fillId="0" borderId="4" xfId="1" applyFont="1" applyBorder="1" applyAlignment="1">
      <alignment horizontal="left"/>
    </xf>
    <xf numFmtId="0" fontId="1" fillId="0" borderId="4" xfId="1" applyBorder="1"/>
    <xf numFmtId="0" fontId="1" fillId="0" borderId="0" xfId="1" applyAlignment="1">
      <alignment horizontal="center"/>
    </xf>
    <xf numFmtId="0" fontId="1" fillId="9" borderId="0" xfId="1" applyFill="1" applyAlignment="1">
      <alignment horizontal="center"/>
    </xf>
    <xf numFmtId="0" fontId="0" fillId="9" borderId="0" xfId="1" applyFont="1" applyFill="1" applyAlignment="1">
      <alignment horizontal="center"/>
    </xf>
    <xf numFmtId="49" fontId="1" fillId="5" borderId="0" xfId="1" applyNumberFormat="1" applyFill="1" applyAlignment="1">
      <alignment horizontal="center"/>
    </xf>
    <xf numFmtId="0" fontId="0" fillId="0" borderId="0" xfId="1" applyFont="1" applyAlignment="1">
      <alignment horizontal="center"/>
    </xf>
    <xf numFmtId="0" fontId="0" fillId="0" borderId="0" xfId="1" applyFont="1"/>
    <xf numFmtId="0" fontId="1" fillId="8" borderId="0" xfId="1" applyFill="1" applyAlignment="1">
      <alignment horizontal="center" vertical="center"/>
    </xf>
    <xf numFmtId="0" fontId="0" fillId="10" borderId="0" xfId="1" applyFont="1" applyFill="1"/>
    <xf numFmtId="164" fontId="6" fillId="3" borderId="5" xfId="1" applyNumberFormat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 wrapText="1" shrinkToFit="1"/>
    </xf>
    <xf numFmtId="0" fontId="2" fillId="5" borderId="5" xfId="1" applyFont="1" applyFill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 applyAlignment="1">
      <alignment horizontal="center"/>
    </xf>
    <xf numFmtId="0" fontId="1" fillId="9" borderId="5" xfId="1" applyFill="1" applyBorder="1" applyAlignment="1">
      <alignment horizontal="center"/>
    </xf>
    <xf numFmtId="0" fontId="1" fillId="0" borderId="5" xfId="1" applyBorder="1" applyAlignment="1">
      <alignment horizontal="center"/>
    </xf>
    <xf numFmtId="0" fontId="5" fillId="2" borderId="2" xfId="1" applyFont="1" applyFill="1" applyBorder="1" applyAlignment="1">
      <alignment horizontal="center" vertical="center" textRotation="90" wrapText="1"/>
    </xf>
    <xf numFmtId="164" fontId="6" fillId="3" borderId="2" xfId="1" applyNumberFormat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 shrinkToFit="1"/>
    </xf>
    <xf numFmtId="0" fontId="2" fillId="5" borderId="2" xfId="1" applyFont="1" applyFill="1" applyBorder="1"/>
    <xf numFmtId="0" fontId="1" fillId="0" borderId="2" xfId="1" applyBorder="1" applyAlignment="1">
      <alignment horizontal="center"/>
    </xf>
    <xf numFmtId="0" fontId="1" fillId="0" borderId="9" xfId="1" applyBorder="1"/>
    <xf numFmtId="49" fontId="1" fillId="7" borderId="2" xfId="1" applyNumberFormat="1" applyFill="1" applyBorder="1"/>
    <xf numFmtId="49" fontId="1" fillId="7" borderId="10" xfId="1" applyNumberFormat="1" applyFill="1" applyBorder="1"/>
    <xf numFmtId="49" fontId="1" fillId="7" borderId="3" xfId="1" applyNumberFormat="1" applyFill="1" applyBorder="1"/>
    <xf numFmtId="0" fontId="1" fillId="0" borderId="11" xfId="1" applyBorder="1"/>
    <xf numFmtId="0" fontId="1" fillId="0" borderId="10" xfId="1" applyBorder="1"/>
    <xf numFmtId="0" fontId="1" fillId="0" borderId="12" xfId="1" applyBorder="1"/>
    <xf numFmtId="0" fontId="2" fillId="5" borderId="10" xfId="1" applyFont="1" applyFill="1" applyBorder="1"/>
    <xf numFmtId="0" fontId="1" fillId="0" borderId="13" xfId="1" applyBorder="1"/>
    <xf numFmtId="49" fontId="1" fillId="0" borderId="3" xfId="1" applyNumberFormat="1" applyBorder="1"/>
    <xf numFmtId="0" fontId="1" fillId="7" borderId="3" xfId="1" applyFill="1" applyBorder="1"/>
    <xf numFmtId="49" fontId="1" fillId="0" borderId="2" xfId="1" applyNumberFormat="1" applyBorder="1"/>
    <xf numFmtId="49" fontId="1" fillId="7" borderId="9" xfId="1" applyNumberFormat="1" applyFill="1" applyBorder="1"/>
    <xf numFmtId="0" fontId="1" fillId="0" borderId="14" xfId="1" applyBorder="1"/>
    <xf numFmtId="0" fontId="1" fillId="11" borderId="14" xfId="1" applyFill="1" applyBorder="1"/>
    <xf numFmtId="49" fontId="1" fillId="0" borderId="11" xfId="1" applyNumberFormat="1" applyBorder="1"/>
    <xf numFmtId="0" fontId="1" fillId="7" borderId="1" xfId="1" applyFill="1" applyBorder="1"/>
    <xf numFmtId="0" fontId="1" fillId="7" borderId="2" xfId="1" applyFill="1" applyBorder="1"/>
    <xf numFmtId="0" fontId="1" fillId="7" borderId="7" xfId="1" applyFill="1" applyBorder="1"/>
    <xf numFmtId="0" fontId="0" fillId="0" borderId="4" xfId="0" quotePrefix="1" applyBorder="1" applyAlignment="1">
      <alignment horizontal="left"/>
    </xf>
    <xf numFmtId="0" fontId="1" fillId="0" borderId="8" xfId="1" applyBorder="1"/>
    <xf numFmtId="0" fontId="0" fillId="10" borderId="1" xfId="1" applyFont="1" applyFill="1" applyBorder="1" applyAlignment="1">
      <alignment horizontal="center"/>
    </xf>
    <xf numFmtId="0" fontId="1" fillId="0" borderId="15" xfId="1" applyBorder="1"/>
    <xf numFmtId="0" fontId="2" fillId="0" borderId="9" xfId="1" applyFont="1" applyBorder="1"/>
    <xf numFmtId="0" fontId="3" fillId="0" borderId="0" xfId="1" quotePrefix="1" applyFont="1"/>
    <xf numFmtId="0" fontId="11" fillId="0" borderId="0" xfId="1" applyFont="1"/>
    <xf numFmtId="0" fontId="1" fillId="0" borderId="0" xfId="1" applyAlignment="1">
      <alignment wrapText="1"/>
    </xf>
    <xf numFmtId="0" fontId="1" fillId="0" borderId="0" xfId="1" applyAlignment="1">
      <alignment horizontal="left" vertical="center" wrapText="1"/>
    </xf>
    <xf numFmtId="164" fontId="6" fillId="3" borderId="10" xfId="1" applyNumberFormat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 wrapText="1" shrinkToFit="1"/>
    </xf>
    <xf numFmtId="0" fontId="1" fillId="0" borderId="5" xfId="1" quotePrefix="1" applyBorder="1" applyAlignment="1">
      <alignment horizontal="left"/>
    </xf>
    <xf numFmtId="0" fontId="1" fillId="0" borderId="5" xfId="1" applyBorder="1" applyAlignment="1">
      <alignment horizontal="left"/>
    </xf>
    <xf numFmtId="0" fontId="1" fillId="0" borderId="6" xfId="1" applyBorder="1" applyAlignment="1">
      <alignment horizontal="left"/>
    </xf>
    <xf numFmtId="0" fontId="1" fillId="0" borderId="16" xfId="1" applyBorder="1"/>
    <xf numFmtId="0" fontId="1" fillId="0" borderId="17" xfId="1" applyBorder="1"/>
    <xf numFmtId="0" fontId="1" fillId="7" borderId="0" xfId="1" applyFill="1"/>
    <xf numFmtId="164" fontId="6" fillId="3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7" fontId="4" fillId="2" borderId="1" xfId="1" applyNumberFormat="1" applyFont="1" applyFill="1" applyBorder="1" applyAlignment="1">
      <alignment horizontal="center" vertical="center" wrapText="1"/>
    </xf>
    <xf numFmtId="17" fontId="4" fillId="2" borderId="5" xfId="1" applyNumberFormat="1" applyFont="1" applyFill="1" applyBorder="1" applyAlignment="1">
      <alignment horizontal="center" vertical="center" wrapText="1"/>
    </xf>
    <xf numFmtId="17" fontId="4" fillId="2" borderId="10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 3" xfId="1" xr:uid="{88D87B65-3D23-4F1B-90B3-F04C96CDCC9E}"/>
  </cellStyles>
  <dxfs count="21"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rgb="FFFF0000"/>
        </left>
        <right style="thin">
          <color rgb="FFFF0000"/>
        </right>
      </border>
    </dxf>
  </dxfs>
  <tableStyles count="0" defaultTableStyle="TableStyleMedium2" defaultPivotStyle="PivotStyleLight16"/>
  <colors>
    <mruColors>
      <color rgb="FFAFEAFF"/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133911</xdr:colOff>
      <xdr:row>1</xdr:row>
      <xdr:rowOff>11837</xdr:rowOff>
    </xdr:from>
    <xdr:to>
      <xdr:col>21</xdr:col>
      <xdr:colOff>134675</xdr:colOff>
      <xdr:row>20</xdr:row>
      <xdr:rowOff>36980</xdr:rowOff>
    </xdr:to>
    <xdr:cxnSp macro="">
      <xdr:nvCxnSpPr>
        <xdr:cNvPr id="2" name="Conector recto 3">
          <a:extLst>
            <a:ext uri="{FF2B5EF4-FFF2-40B4-BE49-F238E27FC236}">
              <a16:creationId xmlns:a16="http://schemas.microsoft.com/office/drawing/2014/main" id="{4AFC1818-5799-67BB-8ACE-56B480799F2A}"/>
            </a:ext>
          </a:extLst>
        </xdr:cNvPr>
        <xdr:cNvCxnSpPr>
          <a:cxnSpLocks/>
        </xdr:cNvCxnSpPr>
      </xdr:nvCxnSpPr>
      <xdr:spPr>
        <a:xfrm flipH="1">
          <a:off x="7239561" y="488087"/>
          <a:ext cx="764" cy="375894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intgobain-my.sharepoint.com/Users/m5112228/Desktop/Red%20Indust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 INDUSTRIA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48C4-DD94-43D0-873E-8342615E3EF0}">
  <sheetPr>
    <outlinePr summaryBelow="0" summaryRight="0"/>
  </sheetPr>
  <dimension ref="A1:BM83"/>
  <sheetViews>
    <sheetView tabSelected="1" zoomScaleNormal="100" workbookViewId="0">
      <pane ySplit="3" topLeftCell="A4" activePane="bottomLeft" state="frozen"/>
      <selection pane="bottomLeft" activeCell="T24" sqref="T24"/>
    </sheetView>
  </sheetViews>
  <sheetFormatPr baseColWidth="10" defaultColWidth="10.85546875" defaultRowHeight="15" customHeight="1" x14ac:dyDescent="0.25"/>
  <cols>
    <col min="1" max="1" width="53.42578125" style="2" bestFit="1" customWidth="1"/>
    <col min="2" max="2" width="4.42578125" style="2" customWidth="1"/>
    <col min="3" max="10" width="4.42578125" style="2" hidden="1" customWidth="1"/>
    <col min="11" max="32" width="4.42578125" style="2" customWidth="1"/>
    <col min="33" max="55" width="4.42578125" style="2" hidden="1" customWidth="1"/>
    <col min="56" max="16384" width="10.85546875" style="2"/>
  </cols>
  <sheetData>
    <row r="1" spans="1:55" ht="38.1" customHeight="1" x14ac:dyDescent="0.25">
      <c r="A1" s="88" t="s">
        <v>0</v>
      </c>
      <c r="B1" s="1">
        <v>2026</v>
      </c>
      <c r="C1" s="89">
        <v>46023</v>
      </c>
      <c r="D1" s="89"/>
      <c r="E1" s="89"/>
      <c r="F1" s="89"/>
      <c r="G1" s="89">
        <v>46054</v>
      </c>
      <c r="H1" s="89"/>
      <c r="I1" s="89"/>
      <c r="J1" s="89"/>
      <c r="K1" s="89">
        <v>46082</v>
      </c>
      <c r="L1" s="89"/>
      <c r="M1" s="89"/>
      <c r="N1" s="89"/>
      <c r="O1" s="89"/>
      <c r="P1" s="89">
        <v>46113</v>
      </c>
      <c r="Q1" s="89"/>
      <c r="R1" s="89"/>
      <c r="S1" s="89"/>
      <c r="T1" s="89">
        <v>46143</v>
      </c>
      <c r="U1" s="89"/>
      <c r="V1" s="89"/>
      <c r="W1" s="89"/>
      <c r="X1" s="89">
        <v>46174</v>
      </c>
      <c r="Y1" s="89"/>
      <c r="Z1" s="89"/>
      <c r="AA1" s="89"/>
      <c r="AB1" s="89"/>
      <c r="AC1" s="89">
        <v>46204</v>
      </c>
      <c r="AD1" s="89"/>
      <c r="AE1" s="89"/>
      <c r="AF1" s="89"/>
      <c r="AG1" s="91">
        <v>46235</v>
      </c>
      <c r="AH1" s="89"/>
      <c r="AI1" s="89"/>
      <c r="AJ1" s="89"/>
      <c r="AK1" s="89"/>
      <c r="AL1" s="89">
        <v>46266</v>
      </c>
      <c r="AM1" s="89"/>
      <c r="AN1" s="89"/>
      <c r="AO1" s="89"/>
      <c r="AP1" s="89">
        <v>46296</v>
      </c>
      <c r="AQ1" s="89"/>
      <c r="AR1" s="89"/>
      <c r="AS1" s="89"/>
      <c r="AT1" s="89">
        <v>46327</v>
      </c>
      <c r="AU1" s="89"/>
      <c r="AV1" s="89"/>
      <c r="AW1" s="89"/>
      <c r="AX1" s="89"/>
      <c r="AY1" s="89">
        <v>46357</v>
      </c>
      <c r="AZ1" s="89"/>
      <c r="BA1" s="89"/>
      <c r="BB1" s="90"/>
      <c r="BC1" s="46">
        <v>2027</v>
      </c>
    </row>
    <row r="2" spans="1:55" ht="18" customHeight="1" x14ac:dyDescent="0.25">
      <c r="A2" s="88"/>
      <c r="B2" s="87">
        <v>46020</v>
      </c>
      <c r="C2" s="87">
        <f t="shared" ref="C2:N2" si="0">B2+7</f>
        <v>46027</v>
      </c>
      <c r="D2" s="87">
        <f t="shared" si="0"/>
        <v>46034</v>
      </c>
      <c r="E2" s="87">
        <f t="shared" si="0"/>
        <v>46041</v>
      </c>
      <c r="F2" s="87">
        <f t="shared" si="0"/>
        <v>46048</v>
      </c>
      <c r="G2" s="87">
        <f t="shared" si="0"/>
        <v>46055</v>
      </c>
      <c r="H2" s="87">
        <f t="shared" si="0"/>
        <v>46062</v>
      </c>
      <c r="I2" s="87">
        <f t="shared" si="0"/>
        <v>46069</v>
      </c>
      <c r="J2" s="87">
        <f t="shared" si="0"/>
        <v>46076</v>
      </c>
      <c r="K2" s="87">
        <f t="shared" si="0"/>
        <v>46083</v>
      </c>
      <c r="L2" s="87">
        <f t="shared" si="0"/>
        <v>46090</v>
      </c>
      <c r="M2" s="87">
        <f t="shared" si="0"/>
        <v>46097</v>
      </c>
      <c r="N2" s="87">
        <f t="shared" si="0"/>
        <v>46104</v>
      </c>
      <c r="O2" s="87">
        <f t="shared" ref="O2:BC2" si="1">N2+7</f>
        <v>46111</v>
      </c>
      <c r="P2" s="87">
        <f t="shared" si="1"/>
        <v>46118</v>
      </c>
      <c r="Q2" s="87">
        <f t="shared" si="1"/>
        <v>46125</v>
      </c>
      <c r="R2" s="87">
        <f t="shared" si="1"/>
        <v>46132</v>
      </c>
      <c r="S2" s="87">
        <f t="shared" si="1"/>
        <v>46139</v>
      </c>
      <c r="T2" s="87">
        <f t="shared" si="1"/>
        <v>46146</v>
      </c>
      <c r="U2" s="87">
        <f t="shared" si="1"/>
        <v>46153</v>
      </c>
      <c r="V2" s="87">
        <f t="shared" si="1"/>
        <v>46160</v>
      </c>
      <c r="W2" s="87">
        <f t="shared" si="1"/>
        <v>46167</v>
      </c>
      <c r="X2" s="87">
        <f t="shared" si="1"/>
        <v>46174</v>
      </c>
      <c r="Y2" s="87">
        <f t="shared" si="1"/>
        <v>46181</v>
      </c>
      <c r="Z2" s="87">
        <f t="shared" si="1"/>
        <v>46188</v>
      </c>
      <c r="AA2" s="87">
        <f t="shared" si="1"/>
        <v>46195</v>
      </c>
      <c r="AB2" s="87">
        <f t="shared" si="1"/>
        <v>46202</v>
      </c>
      <c r="AC2" s="87">
        <f t="shared" si="1"/>
        <v>46209</v>
      </c>
      <c r="AD2" s="87">
        <f t="shared" si="1"/>
        <v>46216</v>
      </c>
      <c r="AE2" s="87">
        <f t="shared" si="1"/>
        <v>46223</v>
      </c>
      <c r="AF2" s="87">
        <f t="shared" si="1"/>
        <v>46230</v>
      </c>
      <c r="AG2" s="79">
        <f t="shared" si="1"/>
        <v>46237</v>
      </c>
      <c r="AH2" s="87">
        <f t="shared" si="1"/>
        <v>46244</v>
      </c>
      <c r="AI2" s="87">
        <f t="shared" si="1"/>
        <v>46251</v>
      </c>
      <c r="AJ2" s="87">
        <f t="shared" si="1"/>
        <v>46258</v>
      </c>
      <c r="AK2" s="87">
        <f t="shared" si="1"/>
        <v>46265</v>
      </c>
      <c r="AL2" s="87">
        <f t="shared" si="1"/>
        <v>46272</v>
      </c>
      <c r="AM2" s="87">
        <f t="shared" si="1"/>
        <v>46279</v>
      </c>
      <c r="AN2" s="87">
        <f t="shared" si="1"/>
        <v>46286</v>
      </c>
      <c r="AO2" s="87">
        <f t="shared" si="1"/>
        <v>46293</v>
      </c>
      <c r="AP2" s="87">
        <f t="shared" si="1"/>
        <v>46300</v>
      </c>
      <c r="AQ2" s="87">
        <f t="shared" si="1"/>
        <v>46307</v>
      </c>
      <c r="AR2" s="87">
        <f t="shared" si="1"/>
        <v>46314</v>
      </c>
      <c r="AS2" s="87">
        <f t="shared" si="1"/>
        <v>46321</v>
      </c>
      <c r="AT2" s="87">
        <f t="shared" si="1"/>
        <v>46328</v>
      </c>
      <c r="AU2" s="87">
        <f t="shared" si="1"/>
        <v>46335</v>
      </c>
      <c r="AV2" s="87">
        <f t="shared" si="1"/>
        <v>46342</v>
      </c>
      <c r="AW2" s="87">
        <f t="shared" si="1"/>
        <v>46349</v>
      </c>
      <c r="AX2" s="87">
        <f t="shared" si="1"/>
        <v>46356</v>
      </c>
      <c r="AY2" s="87">
        <f t="shared" si="1"/>
        <v>46363</v>
      </c>
      <c r="AZ2" s="87">
        <f t="shared" si="1"/>
        <v>46370</v>
      </c>
      <c r="BA2" s="87">
        <f t="shared" si="1"/>
        <v>46377</v>
      </c>
      <c r="BB2" s="37">
        <f t="shared" si="1"/>
        <v>46384</v>
      </c>
      <c r="BC2" s="47">
        <f t="shared" si="1"/>
        <v>46391</v>
      </c>
    </row>
    <row r="3" spans="1:55" ht="18" customHeight="1" x14ac:dyDescent="0.3">
      <c r="A3" s="16" t="s">
        <v>1</v>
      </c>
      <c r="B3" s="17" t="s">
        <v>2</v>
      </c>
      <c r="C3" s="17"/>
      <c r="D3" s="17"/>
      <c r="E3" s="17"/>
      <c r="F3" s="17"/>
      <c r="G3" s="17"/>
      <c r="H3" s="17"/>
      <c r="I3" s="17"/>
      <c r="J3" s="17"/>
      <c r="K3" s="17" t="s">
        <v>2</v>
      </c>
      <c r="L3" s="17" t="s">
        <v>2</v>
      </c>
      <c r="M3" s="15" t="s">
        <v>3</v>
      </c>
      <c r="N3" s="15" t="s">
        <v>4</v>
      </c>
      <c r="O3" s="15" t="s">
        <v>5</v>
      </c>
      <c r="P3" s="15" t="s">
        <v>6</v>
      </c>
      <c r="Q3" s="15" t="s">
        <v>7</v>
      </c>
      <c r="R3" s="15" t="s">
        <v>8</v>
      </c>
      <c r="S3" s="15" t="s">
        <v>9</v>
      </c>
      <c r="T3" s="15" t="s">
        <v>10</v>
      </c>
      <c r="U3" s="15" t="s">
        <v>11</v>
      </c>
      <c r="V3" s="15" t="s">
        <v>12</v>
      </c>
      <c r="W3" s="15" t="s">
        <v>13</v>
      </c>
      <c r="X3" s="15" t="s">
        <v>14</v>
      </c>
      <c r="Y3" s="15" t="s">
        <v>15</v>
      </c>
      <c r="Z3" s="15" t="s">
        <v>16</v>
      </c>
      <c r="AA3" s="15" t="s">
        <v>17</v>
      </c>
      <c r="AB3" s="15" t="s">
        <v>18</v>
      </c>
      <c r="AC3" s="15" t="s">
        <v>19</v>
      </c>
      <c r="AD3" s="15" t="s">
        <v>20</v>
      </c>
      <c r="AE3" s="15" t="s">
        <v>21</v>
      </c>
      <c r="AF3" s="15" t="s">
        <v>22</v>
      </c>
      <c r="AG3" s="80" t="s">
        <v>23</v>
      </c>
      <c r="AH3" s="15" t="s">
        <v>24</v>
      </c>
      <c r="AI3" s="15" t="s">
        <v>25</v>
      </c>
      <c r="AJ3" s="15" t="s">
        <v>26</v>
      </c>
      <c r="AK3" s="15" t="s">
        <v>27</v>
      </c>
      <c r="AL3" s="15" t="s">
        <v>28</v>
      </c>
      <c r="AM3" s="15" t="s">
        <v>29</v>
      </c>
      <c r="AN3" s="15" t="s">
        <v>30</v>
      </c>
      <c r="AO3" s="15" t="s">
        <v>31</v>
      </c>
      <c r="AP3" s="15" t="s">
        <v>32</v>
      </c>
      <c r="AQ3" s="15" t="s">
        <v>33</v>
      </c>
      <c r="AR3" s="15" t="s">
        <v>34</v>
      </c>
      <c r="AS3" s="15" t="s">
        <v>35</v>
      </c>
      <c r="AT3" s="15" t="s">
        <v>36</v>
      </c>
      <c r="AU3" s="15" t="s">
        <v>37</v>
      </c>
      <c r="AV3" s="15" t="s">
        <v>38</v>
      </c>
      <c r="AW3" s="15" t="s">
        <v>39</v>
      </c>
      <c r="AX3" s="15" t="s">
        <v>40</v>
      </c>
      <c r="AY3" s="15" t="s">
        <v>41</v>
      </c>
      <c r="AZ3" s="15" t="s">
        <v>42</v>
      </c>
      <c r="BA3" s="15" t="s">
        <v>43</v>
      </c>
      <c r="BB3" s="38" t="s">
        <v>44</v>
      </c>
      <c r="BC3" s="48" t="s">
        <v>45</v>
      </c>
    </row>
    <row r="4" spans="1:55" s="18" customFormat="1" ht="18" customHeight="1" x14ac:dyDescent="0.35">
      <c r="A4" s="3" t="s">
        <v>46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8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39"/>
      <c r="BC4" s="49"/>
    </row>
    <row r="5" spans="1:55" ht="15" customHeight="1" x14ac:dyDescent="0.25">
      <c r="A5" s="21" t="s">
        <v>47</v>
      </c>
      <c r="B5" s="5"/>
      <c r="C5" s="5"/>
      <c r="D5" s="5"/>
      <c r="E5" s="5"/>
      <c r="F5" s="5"/>
      <c r="G5" s="9" t="s">
        <v>48</v>
      </c>
      <c r="H5" s="9" t="s">
        <v>48</v>
      </c>
      <c r="I5" s="6" t="s">
        <v>49</v>
      </c>
      <c r="J5" s="6"/>
      <c r="K5" s="5"/>
      <c r="L5" s="5"/>
      <c r="M5" s="20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6"/>
      <c r="AH5" s="5"/>
      <c r="AI5" s="5"/>
      <c r="AJ5" s="5"/>
      <c r="AK5" s="5"/>
      <c r="AL5" s="5"/>
      <c r="AM5" s="5"/>
      <c r="AN5" s="5"/>
      <c r="AO5" s="5"/>
      <c r="AP5" s="5"/>
      <c r="AT5" s="8"/>
      <c r="AU5" s="8"/>
      <c r="AV5" s="5"/>
      <c r="AW5" s="5"/>
      <c r="AX5" s="5"/>
      <c r="AY5" s="5"/>
      <c r="AZ5" s="5"/>
      <c r="BA5" s="5"/>
      <c r="BB5" s="40"/>
      <c r="BC5" s="24"/>
    </row>
    <row r="6" spans="1:55" ht="15" customHeight="1" x14ac:dyDescent="0.25">
      <c r="A6" s="81" t="s">
        <v>50</v>
      </c>
      <c r="B6" s="5"/>
      <c r="C6" s="5"/>
      <c r="D6" s="5"/>
      <c r="E6" s="5"/>
      <c r="F6" s="5"/>
      <c r="G6" s="5"/>
      <c r="H6" s="5"/>
      <c r="I6" s="8"/>
      <c r="J6" s="8"/>
      <c r="K6" s="5"/>
      <c r="L6" s="5"/>
      <c r="M6" s="7"/>
      <c r="N6" s="7"/>
      <c r="O6" s="7"/>
      <c r="P6" s="7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6"/>
      <c r="AH6" s="5"/>
      <c r="AI6" s="5"/>
      <c r="AJ6" s="5"/>
      <c r="AK6" s="5"/>
      <c r="AL6" s="5"/>
      <c r="AM6" s="5"/>
      <c r="AN6" s="5"/>
      <c r="AO6" s="5"/>
      <c r="AP6" s="5"/>
      <c r="AQ6" s="8"/>
      <c r="AR6" s="8"/>
      <c r="AS6" s="5"/>
      <c r="AT6" s="7" t="s">
        <v>51</v>
      </c>
      <c r="AU6" s="7"/>
      <c r="AV6" s="9" t="s">
        <v>48</v>
      </c>
      <c r="AW6" s="5"/>
      <c r="AX6" s="5"/>
      <c r="AY6" s="5"/>
      <c r="AZ6" s="5"/>
      <c r="BA6" s="5"/>
      <c r="BB6" s="40"/>
      <c r="BC6" s="24"/>
    </row>
    <row r="7" spans="1:55" ht="15" customHeight="1" x14ac:dyDescent="0.25">
      <c r="A7" s="82" t="s">
        <v>52</v>
      </c>
      <c r="B7" s="5"/>
      <c r="C7" s="5"/>
      <c r="D7" s="5"/>
      <c r="E7" s="5"/>
      <c r="F7" s="5"/>
      <c r="G7" s="5"/>
      <c r="H7" s="5"/>
      <c r="I7" s="8"/>
      <c r="J7" s="8"/>
      <c r="K7" s="5"/>
      <c r="L7" s="5"/>
      <c r="N7" s="54"/>
      <c r="O7" s="54"/>
      <c r="P7" s="54"/>
      <c r="Q7" s="26"/>
      <c r="R7" s="26"/>
      <c r="S7" s="26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6"/>
      <c r="AH7" s="5"/>
      <c r="AI7" s="5"/>
      <c r="AJ7" s="5"/>
      <c r="AK7" s="5"/>
      <c r="AL7" s="5"/>
      <c r="AM7" s="5"/>
      <c r="AN7" s="5"/>
      <c r="AO7" s="5"/>
      <c r="AP7" s="5"/>
      <c r="AQ7" s="8"/>
      <c r="AR7" s="8"/>
      <c r="AS7" s="5"/>
      <c r="AT7" s="7" t="s">
        <v>51</v>
      </c>
      <c r="AU7" s="7"/>
      <c r="AV7" s="9" t="s">
        <v>48</v>
      </c>
      <c r="AW7" s="5"/>
      <c r="AX7" s="5"/>
      <c r="AY7" s="5"/>
      <c r="AZ7" s="5"/>
      <c r="BA7" s="5"/>
      <c r="BB7" s="40"/>
      <c r="BC7" s="24"/>
    </row>
    <row r="8" spans="1:55" ht="15" customHeight="1" x14ac:dyDescent="0.25">
      <c r="A8" s="82" t="s">
        <v>53</v>
      </c>
      <c r="B8" s="5"/>
      <c r="C8" s="5"/>
      <c r="D8" s="5"/>
      <c r="E8" s="5"/>
      <c r="F8" s="5"/>
      <c r="G8" s="5"/>
      <c r="H8" s="5"/>
      <c r="I8" s="8"/>
      <c r="J8" s="8"/>
      <c r="K8" s="5"/>
      <c r="L8" s="5"/>
      <c r="M8" s="40"/>
      <c r="N8" s="24"/>
      <c r="O8" s="52"/>
      <c r="P8" s="52"/>
      <c r="Q8" s="52"/>
      <c r="R8" s="52"/>
      <c r="S8" s="52"/>
      <c r="T8" s="53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6"/>
      <c r="AH8" s="5"/>
      <c r="AI8" s="5"/>
      <c r="AJ8" s="5"/>
      <c r="AK8" s="5"/>
      <c r="AL8" s="5"/>
      <c r="AM8" s="5"/>
      <c r="AN8" s="5"/>
      <c r="AO8" s="5"/>
      <c r="AP8" s="5"/>
      <c r="AQ8" s="8"/>
      <c r="AR8" s="8"/>
      <c r="AS8" s="5"/>
      <c r="AT8" s="7" t="s">
        <v>51</v>
      </c>
      <c r="AU8" s="7"/>
      <c r="AV8" s="9" t="s">
        <v>48</v>
      </c>
      <c r="AW8" s="5"/>
      <c r="AX8" s="5"/>
      <c r="AY8" s="5"/>
      <c r="AZ8" s="5"/>
      <c r="BA8" s="5"/>
      <c r="BB8" s="40"/>
      <c r="BC8" s="24"/>
    </row>
    <row r="9" spans="1:55" ht="15" customHeight="1" x14ac:dyDescent="0.25">
      <c r="A9" s="82" t="s">
        <v>54</v>
      </c>
      <c r="B9" s="5"/>
      <c r="C9" s="5"/>
      <c r="D9" s="5"/>
      <c r="E9" s="5"/>
      <c r="F9" s="5"/>
      <c r="G9" s="5"/>
      <c r="H9" s="5"/>
      <c r="I9" s="8"/>
      <c r="J9" s="8"/>
      <c r="K9" s="5"/>
      <c r="L9" s="5"/>
      <c r="M9" s="5"/>
      <c r="N9" s="28"/>
      <c r="O9" s="28"/>
      <c r="P9" s="52"/>
      <c r="Q9" s="52"/>
      <c r="R9" s="52"/>
      <c r="S9" s="28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6"/>
      <c r="AH9" s="5"/>
      <c r="AI9" s="5"/>
      <c r="AJ9" s="5"/>
      <c r="AK9" s="5"/>
      <c r="AL9" s="5"/>
      <c r="AM9" s="5"/>
      <c r="AN9" s="5"/>
      <c r="AO9" s="5"/>
      <c r="AP9" s="5"/>
      <c r="AQ9" s="8"/>
      <c r="AR9" s="8"/>
      <c r="AS9" s="5"/>
      <c r="AT9" s="7" t="s">
        <v>51</v>
      </c>
      <c r="AU9" s="7"/>
      <c r="AV9" s="9" t="s">
        <v>48</v>
      </c>
      <c r="AW9" s="5"/>
      <c r="AX9" s="5"/>
      <c r="AY9" s="5"/>
      <c r="AZ9" s="5"/>
      <c r="BA9" s="5"/>
      <c r="BB9" s="40"/>
      <c r="BC9" s="24"/>
    </row>
    <row r="10" spans="1:55" ht="15" customHeight="1" x14ac:dyDescent="0.25">
      <c r="A10" s="82" t="s">
        <v>55</v>
      </c>
      <c r="B10" s="5"/>
      <c r="C10" s="5"/>
      <c r="D10" s="5"/>
      <c r="E10" s="5"/>
      <c r="F10" s="5"/>
      <c r="G10" s="5"/>
      <c r="H10" s="5"/>
      <c r="I10" s="8"/>
      <c r="J10" s="8"/>
      <c r="K10" s="5"/>
      <c r="L10" s="5"/>
      <c r="M10" s="40"/>
      <c r="N10" s="24"/>
      <c r="O10" s="24"/>
      <c r="P10" s="24"/>
      <c r="Q10" s="24"/>
      <c r="R10" s="52"/>
      <c r="S10" s="52"/>
      <c r="T10" s="53"/>
      <c r="U10" s="7"/>
      <c r="V10" s="7"/>
      <c r="W10" s="7"/>
      <c r="X10" s="5"/>
      <c r="Y10" s="5"/>
      <c r="Z10" s="5"/>
      <c r="AA10" s="5"/>
      <c r="AB10" s="5"/>
      <c r="AC10" s="5"/>
      <c r="AD10" s="5"/>
      <c r="AE10" s="5"/>
      <c r="AF10" s="5"/>
      <c r="AG10" s="56"/>
      <c r="AH10" s="5"/>
      <c r="AI10" s="5"/>
      <c r="AJ10" s="5"/>
      <c r="AK10" s="5"/>
      <c r="AL10" s="5"/>
      <c r="AM10" s="5"/>
      <c r="AN10" s="5"/>
      <c r="AO10" s="5"/>
      <c r="AP10" s="5"/>
      <c r="AQ10" s="8"/>
      <c r="AR10" s="8"/>
      <c r="AS10" s="5"/>
      <c r="AT10" s="5"/>
      <c r="AU10" s="5"/>
      <c r="AV10" s="5"/>
      <c r="AW10" s="5"/>
      <c r="AX10" s="5"/>
      <c r="AY10" s="5"/>
      <c r="AZ10" s="8"/>
      <c r="BA10" s="8"/>
      <c r="BB10" s="40"/>
      <c r="BC10" s="24"/>
    </row>
    <row r="11" spans="1:55" ht="15" customHeight="1" x14ac:dyDescent="0.25">
      <c r="A11" s="82" t="s">
        <v>56</v>
      </c>
      <c r="B11" s="5"/>
      <c r="C11" s="5"/>
      <c r="D11" s="5"/>
      <c r="E11" s="5"/>
      <c r="F11" s="5"/>
      <c r="G11" s="5"/>
      <c r="H11" s="5"/>
      <c r="I11" s="8"/>
      <c r="J11" s="8"/>
      <c r="K11" s="5"/>
      <c r="L11" s="5"/>
      <c r="M11" s="5"/>
      <c r="N11" s="5"/>
      <c r="O11" s="5"/>
      <c r="P11" s="5"/>
      <c r="Q11" s="5"/>
      <c r="R11" s="61"/>
      <c r="S11" s="61"/>
      <c r="T11" s="63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6"/>
      <c r="AH11" s="5"/>
      <c r="AI11" s="5"/>
      <c r="AJ11" s="5"/>
      <c r="AK11" s="5"/>
      <c r="AL11" s="5"/>
      <c r="AM11" s="5"/>
      <c r="AN11" s="5"/>
      <c r="AO11" s="5"/>
      <c r="AP11" s="5"/>
      <c r="AQ11" s="8"/>
      <c r="AR11" s="8"/>
      <c r="AS11" s="26"/>
      <c r="AT11" s="26"/>
      <c r="AU11" s="26"/>
      <c r="AV11" s="26"/>
      <c r="AW11" s="26"/>
      <c r="AX11" s="26"/>
      <c r="AY11" s="26"/>
      <c r="AZ11" s="60"/>
      <c r="BA11" s="60"/>
      <c r="BB11" s="40"/>
      <c r="BC11" s="24"/>
    </row>
    <row r="12" spans="1:55" ht="15" customHeight="1" x14ac:dyDescent="0.25">
      <c r="A12" s="83" t="s">
        <v>57</v>
      </c>
      <c r="B12" s="26"/>
      <c r="C12" s="26"/>
      <c r="D12" s="26"/>
      <c r="E12" s="26"/>
      <c r="F12" s="26"/>
      <c r="G12" s="26"/>
      <c r="H12" s="26"/>
      <c r="I12" s="60"/>
      <c r="J12" s="60"/>
      <c r="K12" s="26"/>
      <c r="L12" s="26"/>
      <c r="M12" s="26"/>
      <c r="N12" s="26"/>
      <c r="O12" s="26"/>
      <c r="P12" s="26"/>
      <c r="Q12" s="41"/>
      <c r="R12" s="67"/>
      <c r="S12" s="67"/>
      <c r="T12" s="67"/>
      <c r="U12" s="66"/>
      <c r="V12" s="24"/>
      <c r="W12" s="62"/>
      <c r="X12" s="57"/>
      <c r="Y12" s="26"/>
      <c r="Z12" s="26"/>
      <c r="AA12" s="26"/>
      <c r="AB12" s="26"/>
      <c r="AC12" s="26"/>
      <c r="AD12" s="26"/>
      <c r="AE12" s="26"/>
      <c r="AF12" s="26"/>
      <c r="AG12" s="57"/>
      <c r="AH12" s="26"/>
      <c r="AI12" s="26"/>
      <c r="AJ12" s="26"/>
      <c r="AK12" s="26"/>
      <c r="AL12" s="26"/>
      <c r="AM12" s="26"/>
      <c r="AN12" s="26"/>
      <c r="AO12" s="26"/>
      <c r="AP12" s="26"/>
      <c r="AQ12" s="60"/>
      <c r="AR12" s="60"/>
      <c r="AS12" s="26"/>
      <c r="AT12" s="26"/>
      <c r="AU12" s="26"/>
      <c r="AV12" s="26"/>
      <c r="AW12" s="26"/>
      <c r="AX12" s="26"/>
      <c r="AY12" s="26"/>
      <c r="AZ12" s="26"/>
      <c r="BA12" s="26"/>
      <c r="BB12" s="41"/>
      <c r="BC12" s="24"/>
    </row>
    <row r="13" spans="1:55" ht="15" customHeight="1" x14ac:dyDescent="0.25">
      <c r="A13" s="25" t="s">
        <v>58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64"/>
      <c r="S13" s="65"/>
      <c r="T13" s="64"/>
      <c r="U13" s="64"/>
      <c r="V13" s="64"/>
      <c r="W13" s="64"/>
      <c r="X13" s="26"/>
      <c r="Y13" s="26"/>
      <c r="Z13" s="26"/>
      <c r="AA13" s="26"/>
      <c r="AB13" s="26"/>
      <c r="AC13" s="26"/>
      <c r="AD13" s="26"/>
      <c r="AE13" s="26"/>
      <c r="AF13" s="26"/>
      <c r="AG13" s="57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4"/>
      <c r="AT13" s="24"/>
      <c r="AU13" s="24"/>
      <c r="AV13" s="24"/>
      <c r="AW13" s="24"/>
      <c r="AX13" s="24"/>
      <c r="AY13" s="24"/>
      <c r="AZ13" s="24"/>
      <c r="BA13" s="24"/>
      <c r="BB13" s="41"/>
      <c r="BC13" s="24"/>
    </row>
    <row r="14" spans="1:55" ht="15" customHeight="1" x14ac:dyDescent="0.25">
      <c r="A14" s="84" t="s">
        <v>59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68"/>
      <c r="U14" s="68"/>
      <c r="V14" s="51"/>
      <c r="W14" s="24"/>
      <c r="X14" s="24"/>
      <c r="Y14" s="24"/>
      <c r="Z14" s="24"/>
      <c r="AA14" s="24"/>
      <c r="AB14" s="24"/>
      <c r="AC14" s="24"/>
      <c r="AD14" s="24"/>
      <c r="AE14" s="24"/>
      <c r="AF14" s="59"/>
      <c r="AG14" s="55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42"/>
      <c r="BC14" s="24"/>
    </row>
    <row r="15" spans="1:55" ht="15" customHeight="1" x14ac:dyDescent="0.25">
      <c r="A15" s="84" t="s">
        <v>60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68"/>
      <c r="U15" s="69"/>
      <c r="V15" s="67"/>
      <c r="W15" s="55"/>
      <c r="X15" s="51"/>
      <c r="Y15" s="51"/>
      <c r="Z15" s="51"/>
      <c r="AA15" s="51"/>
      <c r="AB15" s="51"/>
      <c r="AC15" s="51"/>
      <c r="AD15" s="51"/>
      <c r="AE15" s="51"/>
      <c r="AF15" s="85"/>
      <c r="AG15" s="55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42"/>
      <c r="BC15" s="24"/>
    </row>
    <row r="16" spans="1:55" ht="15" customHeight="1" x14ac:dyDescent="0.25">
      <c r="A16" s="84" t="s">
        <v>61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51"/>
      <c r="S16" s="51"/>
      <c r="T16" s="74"/>
      <c r="U16" s="68"/>
      <c r="V16" s="86"/>
      <c r="W16" s="69"/>
      <c r="X16" s="5"/>
      <c r="Y16" s="5"/>
      <c r="Z16" s="5"/>
      <c r="AA16" s="5"/>
      <c r="AB16" s="5"/>
      <c r="AC16" s="5"/>
      <c r="AD16" s="5"/>
      <c r="AE16" s="5"/>
      <c r="AF16" s="5"/>
      <c r="AG16" s="55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42"/>
      <c r="BC16" s="24"/>
    </row>
    <row r="17" spans="1:63" ht="15" customHeight="1" x14ac:dyDescent="0.25">
      <c r="A17" s="84" t="s">
        <v>62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42"/>
      <c r="R17" s="5"/>
      <c r="S17" s="5"/>
      <c r="T17" s="5"/>
      <c r="U17" s="55"/>
      <c r="V17" s="24"/>
      <c r="W17" s="69"/>
      <c r="X17" s="67"/>
      <c r="Y17" s="67"/>
      <c r="Z17" s="67"/>
      <c r="AA17" s="67"/>
      <c r="AB17" s="5"/>
      <c r="AC17" s="5"/>
      <c r="AD17" s="5"/>
      <c r="AE17" s="5"/>
      <c r="AF17" s="5"/>
      <c r="AG17" s="55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42"/>
      <c r="BC17" s="24"/>
    </row>
    <row r="18" spans="1:63" ht="15" customHeight="1" x14ac:dyDescent="0.25">
      <c r="A18" s="12" t="s">
        <v>63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40"/>
      <c r="R18" s="5"/>
      <c r="S18" s="5"/>
      <c r="T18" s="5"/>
      <c r="U18" s="56"/>
      <c r="V18" s="5"/>
      <c r="W18" s="40"/>
      <c r="X18" s="5"/>
      <c r="Y18" s="23"/>
      <c r="Z18" s="5"/>
      <c r="AA18" s="5"/>
      <c r="AB18" s="5"/>
      <c r="AC18" s="5"/>
      <c r="AD18" s="5"/>
      <c r="AE18" s="5"/>
      <c r="AF18" s="5"/>
      <c r="AG18" s="55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42"/>
      <c r="BC18" s="24"/>
    </row>
    <row r="19" spans="1:63" ht="15" customHeight="1" x14ac:dyDescent="0.25">
      <c r="A19" s="70" t="s">
        <v>64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71"/>
      <c r="R19" s="5"/>
      <c r="S19" s="5"/>
      <c r="T19" s="5"/>
      <c r="U19" s="73"/>
      <c r="V19" s="28"/>
      <c r="W19" s="71"/>
      <c r="X19" s="5"/>
      <c r="Y19" s="5"/>
      <c r="Z19" s="67"/>
      <c r="AA19" s="67"/>
      <c r="AB19" s="67"/>
      <c r="AC19" s="5"/>
      <c r="AD19" s="5"/>
      <c r="AE19" s="5"/>
      <c r="AF19" s="5"/>
      <c r="AG19" s="55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42"/>
      <c r="BC19" s="24"/>
    </row>
    <row r="20" spans="1:63" ht="15" customHeight="1" x14ac:dyDescent="0.25">
      <c r="A20" s="27" t="s">
        <v>65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71"/>
      <c r="R20" s="5"/>
      <c r="S20" s="5"/>
      <c r="T20" s="5"/>
      <c r="U20" s="73"/>
      <c r="V20" s="28"/>
      <c r="W20" s="71"/>
      <c r="X20" s="5"/>
      <c r="Y20" s="5"/>
      <c r="Z20" s="5"/>
      <c r="AA20" s="5"/>
      <c r="AB20" s="72" t="s">
        <v>66</v>
      </c>
      <c r="AC20" s="5"/>
      <c r="AD20" s="5"/>
      <c r="AE20" s="5"/>
      <c r="AF20" s="5"/>
      <c r="AG20" s="55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42"/>
      <c r="BC20" s="24"/>
    </row>
    <row r="21" spans="1:63" ht="15" customHeight="1" x14ac:dyDescent="0.25">
      <c r="AL21" s="5"/>
      <c r="AM21" s="5"/>
      <c r="AN21" s="5"/>
      <c r="AO21" s="5"/>
      <c r="AP21" s="5"/>
      <c r="AQ21" s="5"/>
      <c r="AR21" s="5"/>
      <c r="AS21" s="24"/>
      <c r="AT21" s="24"/>
      <c r="AU21" s="24"/>
      <c r="AV21" s="24"/>
      <c r="AW21" s="24"/>
      <c r="AX21" s="24"/>
      <c r="AY21" s="24"/>
      <c r="AZ21" s="24"/>
      <c r="BA21" s="24"/>
      <c r="BB21" s="5"/>
      <c r="BC21" s="24"/>
    </row>
    <row r="22" spans="1:63" ht="15" customHeight="1" x14ac:dyDescent="0.25">
      <c r="A22" s="76" t="s">
        <v>67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42"/>
      <c r="BC22" s="24"/>
    </row>
    <row r="23" spans="1:63" ht="15" customHeight="1" x14ac:dyDescent="0.25">
      <c r="A23" s="75" t="s">
        <v>68</v>
      </c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42"/>
      <c r="BC23" s="24"/>
    </row>
    <row r="24" spans="1:63" ht="50.45" customHeight="1" x14ac:dyDescent="0.25">
      <c r="A24" s="78" t="s">
        <v>69</v>
      </c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42"/>
      <c r="BC24" s="24"/>
    </row>
    <row r="25" spans="1:63" ht="15" customHeight="1" x14ac:dyDescent="0.25"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42"/>
      <c r="BC25" s="24"/>
    </row>
    <row r="26" spans="1:63" ht="15" customHeight="1" x14ac:dyDescent="0.25">
      <c r="A26" s="75" t="s">
        <v>70</v>
      </c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42"/>
      <c r="BC26" s="24"/>
    </row>
    <row r="27" spans="1:63" ht="59.25" customHeight="1" x14ac:dyDescent="0.25">
      <c r="A27" s="78" t="s">
        <v>71</v>
      </c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42"/>
      <c r="BC27" s="51"/>
    </row>
    <row r="28" spans="1:63" x14ac:dyDescent="0.25"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43"/>
      <c r="BC28" s="50"/>
      <c r="BD28" s="29"/>
      <c r="BE28" s="29"/>
      <c r="BI28" s="29"/>
      <c r="BJ28" s="29"/>
      <c r="BK28" s="29"/>
    </row>
    <row r="29" spans="1:63" ht="15" customHeight="1" x14ac:dyDescent="0.25">
      <c r="A29" s="75" t="s">
        <v>72</v>
      </c>
    </row>
    <row r="30" spans="1:63" ht="46.15" customHeight="1" x14ac:dyDescent="0.25">
      <c r="A30" s="77" t="s">
        <v>73</v>
      </c>
    </row>
    <row r="67" spans="1:65" ht="15" customHeight="1" x14ac:dyDescent="0.25">
      <c r="A67" s="22" t="s">
        <v>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10">
        <v>1</v>
      </c>
      <c r="AX67" s="5"/>
      <c r="AY67" s="5"/>
      <c r="AZ67" s="5"/>
      <c r="BA67" s="5"/>
      <c r="BB67" s="5"/>
      <c r="BC67" s="40"/>
    </row>
    <row r="68" spans="1:65" ht="15" customHeight="1" x14ac:dyDescent="0.25">
      <c r="A68" s="22" t="s">
        <v>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10">
        <v>1</v>
      </c>
      <c r="AX68" s="5"/>
      <c r="AY68" s="5"/>
      <c r="AZ68" s="5"/>
      <c r="BA68" s="5"/>
      <c r="BB68" s="5"/>
      <c r="BC68" s="40"/>
    </row>
    <row r="69" spans="1:65" ht="15" customHeight="1" x14ac:dyDescent="0.25">
      <c r="A69" s="22" t="s">
        <v>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10">
        <v>2</v>
      </c>
      <c r="AY69" s="5"/>
      <c r="AZ69" s="5"/>
      <c r="BA69" s="5"/>
      <c r="BB69" s="5"/>
      <c r="BC69" s="40"/>
    </row>
    <row r="70" spans="1:65" ht="15" customHeight="1" x14ac:dyDescent="0.25">
      <c r="A70" s="22" t="s">
        <v>77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10">
        <v>2</v>
      </c>
      <c r="AY70" s="10">
        <v>3</v>
      </c>
      <c r="AZ70" s="10" t="s">
        <v>78</v>
      </c>
      <c r="BA70" s="5"/>
      <c r="BB70" s="5"/>
      <c r="BC70" s="40"/>
    </row>
    <row r="71" spans="1:65" ht="15" customHeight="1" x14ac:dyDescent="0.25">
      <c r="A71" s="22" t="s">
        <v>79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10" t="s">
        <v>78</v>
      </c>
      <c r="BA71" s="5"/>
      <c r="BB71" s="5"/>
      <c r="BC71" s="40"/>
    </row>
    <row r="72" spans="1:65" ht="15" customHeight="1" x14ac:dyDescent="0.25">
      <c r="A72" s="12" t="s">
        <v>80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40"/>
    </row>
    <row r="73" spans="1:65" ht="15" customHeight="1" x14ac:dyDescent="0.25">
      <c r="A73" s="19" t="s">
        <v>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13">
        <v>1</v>
      </c>
      <c r="BC73" s="44">
        <v>2</v>
      </c>
      <c r="BD73" s="30">
        <v>3</v>
      </c>
      <c r="BE73" s="30">
        <v>4</v>
      </c>
      <c r="BF73" s="30">
        <v>5</v>
      </c>
      <c r="BG73" s="31">
        <v>6</v>
      </c>
      <c r="BH73" s="32" t="s">
        <v>48</v>
      </c>
      <c r="BI73" s="29"/>
      <c r="BJ73" s="33"/>
      <c r="BK73" s="33"/>
      <c r="BL73" s="33"/>
      <c r="BM73" s="34"/>
    </row>
    <row r="74" spans="1:65" ht="15" customHeight="1" x14ac:dyDescent="0.25">
      <c r="A74" s="11" t="s">
        <v>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13">
        <v>1</v>
      </c>
      <c r="BC74" s="45"/>
      <c r="BD74" s="29"/>
      <c r="BE74" s="29"/>
      <c r="BF74" s="29"/>
      <c r="BG74" s="29"/>
      <c r="BH74" s="29"/>
      <c r="BI74" s="29"/>
      <c r="BJ74" s="33"/>
      <c r="BK74" s="33"/>
      <c r="BL74" s="33"/>
      <c r="BM74" s="34"/>
    </row>
    <row r="75" spans="1:65" ht="15" customHeight="1" x14ac:dyDescent="0.25">
      <c r="A75" s="11" t="s">
        <v>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13">
        <v>1</v>
      </c>
      <c r="BC75" s="44">
        <v>2</v>
      </c>
      <c r="BD75" s="29"/>
      <c r="BE75" s="29"/>
      <c r="BF75" s="29"/>
      <c r="BG75" s="29"/>
      <c r="BH75" s="29"/>
      <c r="BI75" s="29"/>
      <c r="BJ75" s="33"/>
      <c r="BK75" s="33"/>
      <c r="BL75" s="33"/>
      <c r="BM75" s="34"/>
    </row>
    <row r="76" spans="1:65" ht="15" customHeight="1" x14ac:dyDescent="0.25">
      <c r="A76" s="11" t="s">
        <v>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14"/>
      <c r="BC76" s="45"/>
      <c r="BD76" s="30">
        <v>3</v>
      </c>
      <c r="BE76" s="30">
        <v>4</v>
      </c>
      <c r="BF76" s="29"/>
      <c r="BG76" s="29"/>
      <c r="BH76" s="29"/>
      <c r="BI76" s="29"/>
      <c r="BJ76" s="33"/>
      <c r="BK76" s="33"/>
      <c r="BL76" s="33"/>
      <c r="BM76" s="34"/>
    </row>
    <row r="77" spans="1:65" ht="15" customHeight="1" x14ac:dyDescent="0.25">
      <c r="A77" s="11" t="s">
        <v>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14"/>
      <c r="BC77" s="40"/>
      <c r="BD77" s="29"/>
      <c r="BE77" s="35">
        <v>1</v>
      </c>
      <c r="BF77" s="29"/>
      <c r="BG77" s="29"/>
      <c r="BH77" s="29"/>
      <c r="BI77" s="29"/>
      <c r="BJ77" s="33"/>
      <c r="BK77" s="33"/>
      <c r="BL77" s="33"/>
      <c r="BM77" s="34"/>
    </row>
    <row r="78" spans="1:65" ht="15" customHeight="1" x14ac:dyDescent="0.25">
      <c r="A78" s="11" t="s">
        <v>86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14"/>
      <c r="BC78" s="45"/>
      <c r="BD78" s="29"/>
      <c r="BE78" s="30">
        <v>4</v>
      </c>
      <c r="BF78" s="29"/>
      <c r="BG78" s="29"/>
      <c r="BH78" s="29"/>
      <c r="BI78" s="29"/>
      <c r="BJ78" s="33"/>
      <c r="BK78" s="33"/>
      <c r="BL78" s="33"/>
      <c r="BM78" s="34"/>
    </row>
    <row r="79" spans="1:65" ht="15" customHeight="1" x14ac:dyDescent="0.25">
      <c r="A79" s="11" t="s">
        <v>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14"/>
      <c r="BC79" s="45"/>
      <c r="BD79" s="29"/>
      <c r="BE79" s="30">
        <v>4</v>
      </c>
      <c r="BF79" s="30">
        <v>5</v>
      </c>
      <c r="BG79" s="29"/>
      <c r="BH79" s="29"/>
      <c r="BI79" s="29"/>
      <c r="BJ79" s="33"/>
      <c r="BK79" s="33"/>
      <c r="BL79" s="33"/>
      <c r="BM79" s="34"/>
    </row>
    <row r="80" spans="1:65" ht="15" customHeight="1" x14ac:dyDescent="0.25">
      <c r="A80" s="11" t="s">
        <v>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14"/>
      <c r="BC80" s="45"/>
      <c r="BD80" s="29"/>
      <c r="BE80" s="29"/>
      <c r="BF80" s="29"/>
      <c r="BG80" s="31">
        <v>6</v>
      </c>
      <c r="BH80" s="29"/>
      <c r="BI80" s="29"/>
      <c r="BJ80" s="33"/>
      <c r="BK80" s="33"/>
      <c r="BL80" s="33"/>
      <c r="BM80" s="34"/>
    </row>
    <row r="81" spans="1:65" ht="15" customHeight="1" x14ac:dyDescent="0.25">
      <c r="A81" s="11" t="s">
        <v>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14"/>
      <c r="BC81" s="45"/>
      <c r="BD81" s="29"/>
      <c r="BE81" s="29"/>
      <c r="BI81" s="35">
        <v>1</v>
      </c>
      <c r="BJ81" s="33"/>
      <c r="BK81" s="29"/>
      <c r="BL81" s="29"/>
      <c r="BM81" s="33"/>
    </row>
    <row r="82" spans="1:65" ht="15" customHeight="1" x14ac:dyDescent="0.25">
      <c r="A82" s="11" t="s">
        <v>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14"/>
      <c r="BC82" s="45"/>
      <c r="BD82" s="29"/>
      <c r="BE82" s="29"/>
      <c r="BJ82" s="35">
        <v>1</v>
      </c>
      <c r="BK82" s="35">
        <v>2</v>
      </c>
      <c r="BM82" s="33"/>
    </row>
    <row r="83" spans="1:65" ht="15" customHeight="1" x14ac:dyDescent="0.25">
      <c r="A83" s="11" t="s">
        <v>91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14"/>
      <c r="BC83" s="45"/>
      <c r="BD83" s="29"/>
      <c r="BE83" s="29"/>
      <c r="BI83" s="29"/>
      <c r="BJ83" s="29"/>
      <c r="BK83" s="29"/>
      <c r="BL83" s="36" t="s">
        <v>92</v>
      </c>
      <c r="BM83" s="33"/>
    </row>
  </sheetData>
  <mergeCells count="13">
    <mergeCell ref="A1:A2"/>
    <mergeCell ref="AY1:BB1"/>
    <mergeCell ref="C1:F1"/>
    <mergeCell ref="G1:J1"/>
    <mergeCell ref="K1:O1"/>
    <mergeCell ref="P1:S1"/>
    <mergeCell ref="T1:W1"/>
    <mergeCell ref="X1:AB1"/>
    <mergeCell ref="AC1:AF1"/>
    <mergeCell ref="AG1:AK1"/>
    <mergeCell ref="AL1:AO1"/>
    <mergeCell ref="AP1:AS1"/>
    <mergeCell ref="AT1:AX1"/>
  </mergeCells>
  <conditionalFormatting sqref="B2:BC2 M3:BC3 G5:J5 AT5:AU5 AT6:AV9 I6:J12 AQ6:AR12 O8:T9 R10:W10">
    <cfRule type="expression" dxfId="20" priority="56">
      <formula>AND(TODAY()&gt;=#REF!,TODAY()&lt;#REF!)</formula>
    </cfRule>
  </conditionalFormatting>
  <conditionalFormatting sqref="M5:O5">
    <cfRule type="expression" dxfId="19" priority="13">
      <formula>AND(TODAY()&gt;=#REF!,TODAY()&lt;#REF!)</formula>
    </cfRule>
  </conditionalFormatting>
  <conditionalFormatting sqref="M6:P6">
    <cfRule type="expression" dxfId="18" priority="14">
      <formula>AND(TODAY()&gt;=#REF!,TODAY()&lt;#REF!)</formula>
    </cfRule>
  </conditionalFormatting>
  <conditionalFormatting sqref="N7:P7">
    <cfRule type="expression" dxfId="17" priority="8">
      <formula>AND(TODAY()&gt;=#REF!,TODAY()&lt;#REF!)</formula>
    </cfRule>
  </conditionalFormatting>
  <conditionalFormatting sqref="P9:R9">
    <cfRule type="expression" dxfId="16" priority="4">
      <formula>AND(TODAY()&gt;=#REF!,TODAY()&lt;#REF!)</formula>
    </cfRule>
  </conditionalFormatting>
  <conditionalFormatting sqref="T11 U12:W12">
    <cfRule type="expression" dxfId="15" priority="3">
      <formula>AND(TODAY()&gt;=#REF!,TODAY()&lt;#REF!)</formula>
    </cfRule>
  </conditionalFormatting>
  <conditionalFormatting sqref="AB20 BI81 BE81:BE82 BJ82:BK82 BL83">
    <cfRule type="expression" dxfId="14" priority="34">
      <formula>AND(TODAY()&gt;=#REF!,TODAY()&lt;#REF!)</formula>
    </cfRule>
  </conditionalFormatting>
  <conditionalFormatting sqref="AW67:AW68">
    <cfRule type="expression" dxfId="13" priority="29">
      <formula>AND(TODAY()&gt;=#REF!,TODAY()&lt;#REF!)</formula>
    </cfRule>
  </conditionalFormatting>
  <conditionalFormatting sqref="AW72:AY72">
    <cfRule type="expression" dxfId="12" priority="33">
      <formula>AND(TODAY()&gt;=#REF!,TODAY()&lt;#REF!)</formula>
    </cfRule>
  </conditionalFormatting>
  <conditionalFormatting sqref="AX69:AZ70">
    <cfRule type="expression" dxfId="11" priority="28">
      <formula>AND(TODAY()&gt;=#REF!,TODAY()&lt;#REF!)</formula>
    </cfRule>
  </conditionalFormatting>
  <conditionalFormatting sqref="AZ70:AZ71">
    <cfRule type="expression" dxfId="10" priority="30">
      <formula>AND(TODAY()&gt;=#REF!,TODAY()&lt;#REF!)</formula>
    </cfRule>
  </conditionalFormatting>
  <conditionalFormatting sqref="AZ10:BA11">
    <cfRule type="expression" dxfId="9" priority="1">
      <formula>AND(TODAY()&gt;=#REF!,TODAY()&lt;#REF!)</formula>
    </cfRule>
  </conditionalFormatting>
  <conditionalFormatting sqref="BB73:BB74">
    <cfRule type="expression" dxfId="8" priority="27">
      <formula>AND(TODAY()&gt;=#REF!,TODAY()&lt;#REF!)</formula>
    </cfRule>
  </conditionalFormatting>
  <conditionalFormatting sqref="BB75:BC75">
    <cfRule type="expression" dxfId="7" priority="24">
      <formula>AND(TODAY()&gt;=#REF!,TODAY()&lt;#REF!)</formula>
    </cfRule>
  </conditionalFormatting>
  <conditionalFormatting sqref="BC73:BD73">
    <cfRule type="expression" dxfId="6" priority="26">
      <formula>AND(TODAY()&gt;=#REF!,TODAY()&lt;#REF!)</formula>
    </cfRule>
  </conditionalFormatting>
  <conditionalFormatting sqref="BD76:BD77">
    <cfRule type="expression" dxfId="5" priority="25">
      <formula>AND(TODAY()&gt;=#REF!,TODAY()&lt;#REF!)</formula>
    </cfRule>
  </conditionalFormatting>
  <conditionalFormatting sqref="BE73:BE79">
    <cfRule type="expression" dxfId="4" priority="23">
      <formula>AND(TODAY()&gt;=#REF!,TODAY()&lt;#REF!)</formula>
    </cfRule>
  </conditionalFormatting>
  <conditionalFormatting sqref="BF79">
    <cfRule type="expression" dxfId="3" priority="21">
      <formula>AND(TODAY()&gt;=#REF!,TODAY()&lt;#REF!)</formula>
    </cfRule>
  </conditionalFormatting>
  <conditionalFormatting sqref="BF77:BG78">
    <cfRule type="expression" dxfId="2" priority="22">
      <formula>AND(TODAY()&gt;=#REF!,TODAY()&lt;#REF!)</formula>
    </cfRule>
  </conditionalFormatting>
  <conditionalFormatting sqref="BF73:BH73">
    <cfRule type="expression" dxfId="1" priority="19">
      <formula>AND(TODAY()&gt;=#REF!,TODAY()&lt;#REF!)</formula>
    </cfRule>
  </conditionalFormatting>
  <conditionalFormatting sqref="BG79:BG80">
    <cfRule type="expression" dxfId="0" priority="20">
      <formula>AND(TODAY()&gt;=#REF!,TODAY()&lt;#REF!)</formula>
    </cfRule>
  </conditionalFormatting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7c26c0b6-51fc-43d6-8f81-8ee9d4844258}" enabled="1" method="Privilege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inicial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Reynaga Rios, Leandro</dc:creator>
  <cp:keywords/>
  <dc:description/>
  <cp:lastModifiedBy>Marcos De Palma</cp:lastModifiedBy>
  <cp:revision/>
  <dcterms:created xsi:type="dcterms:W3CDTF">2026-01-19T13:08:01Z</dcterms:created>
  <dcterms:modified xsi:type="dcterms:W3CDTF">2026-09-22T16:48:46Z</dcterms:modified>
  <cp:category/>
  <cp:contentStatus/>
</cp:coreProperties>
</file>