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ACULTAD\PROYECTO FINAL\Informe\"/>
    </mc:Choice>
  </mc:AlternateContent>
  <xr:revisionPtr revIDLastSave="0" documentId="13_ncr:1_{D05659AE-0261-49DC-BEE8-6A0E0730CF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final" sheetId="1" r:id="rId1"/>
  </sheets>
  <definedNames>
    <definedName name="_xlnm.Print_Area" localSheetId="0">'Gantt final'!$A$1:$AP$59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46" i="1"/>
  <c r="E45" i="1"/>
  <c r="E44" i="1"/>
  <c r="E43" i="1"/>
  <c r="E42" i="1"/>
  <c r="E41" i="1"/>
  <c r="E40" i="1"/>
  <c r="E38" i="1"/>
  <c r="E37" i="1"/>
  <c r="E36" i="1"/>
  <c r="E35" i="1"/>
  <c r="E33" i="1"/>
  <c r="E32" i="1"/>
  <c r="E31" i="1"/>
  <c r="E30" i="1"/>
  <c r="E29" i="1"/>
  <c r="E28" i="1"/>
  <c r="E26" i="1"/>
  <c r="E25" i="1"/>
  <c r="E24" i="1"/>
  <c r="E23" i="1"/>
  <c r="E22" i="1"/>
  <c r="E21" i="1"/>
  <c r="E19" i="1"/>
  <c r="E18" i="1"/>
  <c r="E17" i="1"/>
  <c r="E16" i="1"/>
  <c r="E15" i="1"/>
  <c r="E14" i="1"/>
  <c r="E12" i="1"/>
  <c r="E11" i="1"/>
  <c r="E10" i="1"/>
  <c r="E8" i="1"/>
</calcChain>
</file>

<file path=xl/sharedStrings.xml><?xml version="1.0" encoding="utf-8"?>
<sst xmlns="http://schemas.openxmlformats.org/spreadsheetml/2006/main" count="172" uniqueCount="133">
  <si>
    <t>KUKO Delta Carbon — Diagrama de Gantt final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</si>
  <si>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</si>
  <si>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</si>
  <si>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</si>
  <si>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</si>
  <si>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</si>
  <si>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</si>
  <si>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</si>
  <si>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</si>
  <si>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#</t>
  </si>
  <si>
    <t>Etapa / tarea</t>
  </si>
  <si>
    <t>Inicio</t>
  </si>
  <si>
    <t>Fin</t>
  </si>
  <si>
    <t>Días</t>
  </si>
  <si>
    <t>Estado</t>
  </si>
  <si>
    <t>Evidencia</t>
  </si>
  <si>
    <t>1 · Definición y planificación</t>
  </si>
  <si>
    <t>1.1</t>
  </si>
  <si>
    <t>Estudio de la idea y elección de la configuración delta</t>
  </si>
  <si>
    <t>Completada</t>
  </si>
  <si>
    <t>Propuesta Inicial — Kuko Delta S-1500</t>
  </si>
  <si>
    <t>1.2</t>
  </si>
  <si>
    <t>Propuesta Final — Kuko Delta Carbon</t>
  </si>
  <si>
    <t>1.3</t>
  </si>
  <si>
    <t>Planificación temporal del proyecto</t>
  </si>
  <si>
    <t>commit cc67e19 · Diagrama de Gantt inicial</t>
  </si>
  <si>
    <t>1.4</t>
  </si>
  <si>
    <t>Entrega de la propuesta final</t>
  </si>
  <si>
    <t>Hito</t>
  </si>
  <si>
    <t>commit 9ec0b6e</t>
  </si>
  <si>
    <t>2 · Diseño y construcción mecánica</t>
  </si>
  <si>
    <t>2.1</t>
  </si>
  <si>
    <t>2.2</t>
  </si>
  <si>
    <t>2.3</t>
  </si>
  <si>
    <t>2.4</t>
  </si>
  <si>
    <t>2.5</t>
  </si>
  <si>
    <t>Construcción e integración de la cinta transportadora</t>
  </si>
  <si>
    <t>2.6</t>
  </si>
  <si>
    <t>Robot ensamblado: primeras pruebas sobre el equipo real</t>
  </si>
  <si>
    <t>commit 8916cf9 — primeras pruebas NEMA 23</t>
  </si>
  <si>
    <t>3 · Electrónica y firmware base</t>
  </si>
  <si>
    <t>3.1</t>
  </si>
  <si>
    <t>commits a49d09d, 62372b6, 1728063</t>
  </si>
  <si>
    <t>3.2</t>
  </si>
  <si>
    <t>Diagrama de conexión eléctrica y asignación de pines</t>
  </si>
  <si>
    <t>commits 64c3659, 0ebf307, ac29ce9</t>
  </si>
  <si>
    <t>3.3</t>
  </si>
  <si>
    <t>Control de los motores NEMA 23 y de la cinta</t>
  </si>
  <si>
    <t>commits 8916cf9, bc7c5f9, bf56508</t>
  </si>
  <si>
    <t>3.4</t>
  </si>
  <si>
    <t>Encoders AS5600, finales de carrera y rutina de homing</t>
  </si>
  <si>
    <t>commits a65101e, c8a56ae</t>
  </si>
  <si>
    <t>3.5</t>
  </si>
  <si>
    <t>Diagnóstico y corrección del ruido eléctrico</t>
  </si>
  <si>
    <t>3.6</t>
  </si>
  <si>
    <t>commits 7849abd, ddc4318</t>
  </si>
  <si>
    <t>4 · Cinemática y control de movimiento</t>
  </si>
  <si>
    <t>4.1</t>
  </si>
  <si>
    <t>Generación de pasos por temporizador, fuera del lazo principal</t>
  </si>
  <si>
    <t>4.2</t>
  </si>
  <si>
    <t>Calibración de los encoders: ganancia y offset</t>
  </si>
  <si>
    <t>commits 4526758, e1d99af, 1e4df6d, 924d348</t>
  </si>
  <si>
    <t>4.3</t>
  </si>
  <si>
    <t>Cinemática inversa del robot delta</t>
  </si>
  <si>
    <t>commits c1d3a99, eb0dcf8, a33f176, 9a78ad0</t>
  </si>
  <si>
    <t>4.4</t>
  </si>
  <si>
    <t>Cinemática terminada y validada contra el robot</t>
  </si>
  <si>
    <t>4.5</t>
  </si>
  <si>
    <t>Coordinación multieje y perfiles de velocidad y aceleración</t>
  </si>
  <si>
    <t>commits 574412e, 2a337ef, cfa50bf</t>
  </si>
  <si>
    <t>4.6</t>
  </si>
  <si>
    <t>Intercepción de piezas sobre la cinta en movimiento</t>
  </si>
  <si>
    <t>5 · Visión artificial e integración</t>
  </si>
  <si>
    <t>5.1</t>
  </si>
  <si>
    <t>commits 53c9b10, 4842939, 26bd66c</t>
  </si>
  <si>
    <t>5.2</t>
  </si>
  <si>
    <t>Comunicación cámara–robot funcional</t>
  </si>
  <si>
    <t>commit 6f89d98</t>
  </si>
  <si>
    <t>5.3</t>
  </si>
  <si>
    <t>Supervisión de colisiones y recuperación automática</t>
  </si>
  <si>
    <t>5.4</t>
  </si>
  <si>
    <t>Modo Box: llenado de caja de seis posiciones</t>
  </si>
  <si>
    <t>commit eaca444</t>
  </si>
  <si>
    <t>6 · Interfaz, puesta a punto y cierre</t>
  </si>
  <si>
    <t>6.1</t>
  </si>
  <si>
    <t>commits d7a45f6, 5bb7479, c69787f, 992135e</t>
  </si>
  <si>
    <t>6.2</t>
  </si>
  <si>
    <t>Modo Teach: grabación y reproducción de secuencias</t>
  </si>
  <si>
    <t>commit 2579f3d</t>
  </si>
  <si>
    <t>6.3</t>
  </si>
  <si>
    <t>Movimiento lineal en el espacio cartesiano (movL)</t>
  </si>
  <si>
    <t>6.4</t>
  </si>
  <si>
    <t>Documentación del repositorio, planos y datasheets</t>
  </si>
  <si>
    <t>commits 3234cb3, cd4d727, 827d9ce, ab8126f</t>
  </si>
  <si>
    <t>6.5</t>
  </si>
  <si>
    <t>Calibración de visión, perfiles de iluminación y ensayos finales</t>
  </si>
  <si>
    <t>commits 6ec5e05, f4e5de3, eea15a3, fc3bb83</t>
  </si>
  <si>
    <t>6.6</t>
  </si>
  <si>
    <t>En curso</t>
  </si>
  <si>
    <t>Informe — Kuko Delta Carbon (en desarrollo)</t>
  </si>
  <si>
    <t>6.7</t>
  </si>
  <si>
    <t>Referencias</t>
  </si>
  <si>
    <t>Tarea en curso</t>
  </si>
  <si>
    <t>Semana en curso</t>
  </si>
  <si>
    <t>Las fechas reconstruyen el avance real del proyecto a partir del historial de commits del repositorio, de la documentación entregada y del informe técnico.</t>
  </si>
  <si>
    <t>Presentación del Proyecto Final</t>
  </si>
  <si>
    <t>1.5</t>
  </si>
  <si>
    <t>Entrega de la propuesta inicial</t>
  </si>
  <si>
    <t>Análisis de requerimientos y costos</t>
  </si>
  <si>
    <t>Modelo 3D — Propuesta Final</t>
  </si>
  <si>
    <t>Registro de compras</t>
  </si>
  <si>
    <t>Igualación de varillas</t>
  </si>
  <si>
    <t>commit 0ebf307 (código de cinta)</t>
  </si>
  <si>
    <t>commit 1de06ff</t>
  </si>
  <si>
    <t>commit 5c34b51</t>
  </si>
  <si>
    <t>commit 9a78ad0</t>
  </si>
  <si>
    <t>commits 4cd4e4b, 47276fc</t>
  </si>
  <si>
    <t>commits 8d512d0, bf184e9, 09d2db2</t>
  </si>
  <si>
    <t>commits 94e122f, e966aaf</t>
  </si>
  <si>
    <t>Finalización OCT/26</t>
  </si>
  <si>
    <t>Compra de componentes</t>
  </si>
  <si>
    <t>Dimensionamiento del robot y primer modelado 3D</t>
  </si>
  <si>
    <t>Impresión 3D y armado de brazos superiores e inferiores</t>
  </si>
  <si>
    <t>Ensamblaje de la estructura en perfilería</t>
  </si>
  <si>
    <t>Trabajo en taller</t>
  </si>
  <si>
    <t>Arquitectura del firmware en módulos</t>
  </si>
  <si>
    <t>Primer sistema funcional: homing, cinta y sistema neumático</t>
  </si>
  <si>
    <t>Sistema de visión por color y forma</t>
  </si>
  <si>
    <t>Interfaz de operación y pruebas automáticas</t>
  </si>
  <si>
    <t>Redacción del informe técnico y presentación</t>
  </si>
  <si>
    <t>Período: marzo – octubre de 2026  ·  Escala semanal (lunes a domingo)  ·  Desarrollo real del proyecto, reconstruido a partir del historial del repositorio y de la documentación técnica.</t>
  </si>
  <si>
    <t xml:space="preserve">Robot delta de 3 GDL con visión artificial para clasificación de piezas sobre cinta en movimiento  </t>
  </si>
  <si>
    <t>De Palma, Marcos Agustín  ·  Reynaga Ríos, Leandro Joel  ·  Ingeniería Mecatrónica (FI-UNLZ)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</si>
</sst>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/mm/yyyy"/>
  </numFmts>
  <fonts count="23" x14ac:knownFonts="1">
    <font>
      <sz val="11"/>
      <color theme="1"/>
      <name val="Calibri"/>
      <family val="2"/>
      <scheme val="minor"/>
    </font>
    <font>
      <b/>
      <sz val="16"/>
      <color rgb="FF2F3A4A"/>
      <name val="Calibri"/>
    </font>
    <font>
      <sz val="10"/>
      <color rgb="FF5A6472"/>
      <name val="Calibri"/>
    </font>
    <font>
      <b/>
      <sz val="9"/>
      <color rgb="FF2F3A4A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b/>
      <sz val="10"/>
      <color rgb="FF6B8FB5"/>
      <name val="Calibri"/>
    </font>
    <font>
      <sz val="11"/>
      <color rgb="FF1F2530"/>
      <name val="Calibri"/>
    </font>
    <font>
      <sz val="9"/>
      <color rgb="FF5A6472"/>
      <name val="Calibri"/>
    </font>
    <font>
      <sz val="9"/>
      <color rgb="FF6B7480"/>
      <name val="Calibri"/>
    </font>
    <font>
      <b/>
      <sz val="11"/>
      <color rgb="FF2F3A4A"/>
      <name val="Calibri"/>
    </font>
    <font>
      <b/>
      <sz val="10"/>
      <color rgb="FF4E9C8F"/>
      <name val="Calibri"/>
    </font>
    <font>
      <b/>
      <sz val="10"/>
      <color rgb="FF5B6BAF"/>
      <name val="Calibri"/>
    </font>
    <font>
      <b/>
      <sz val="10"/>
      <color rgb="FFC98A3D"/>
      <name val="Calibri"/>
    </font>
    <font>
      <b/>
      <sz val="10"/>
      <color rgb="FF7A9A5B"/>
      <name val="Calibri"/>
    </font>
    <font>
      <b/>
      <sz val="10"/>
      <color rgb="FF8C6BA6"/>
      <name val="Calibri"/>
    </font>
    <font>
      <b/>
      <sz val="10"/>
      <color rgb="FF2F3A4A"/>
      <name val="Calibri"/>
    </font>
    <font>
      <sz val="8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rgb="FF5F5F5F"/>
      <name val="Calibri"/>
      <family val="2"/>
    </font>
    <font>
      <i/>
      <sz val="10"/>
      <color rgb="FF5F5F5F"/>
      <name val="Calibri"/>
      <family val="2"/>
    </font>
    <font>
      <sz val="9"/>
      <color rgb="FF5F5F5F"/>
      <name val="Calibri"/>
      <family val="2"/>
    </font>
    <font>
      <i/>
      <sz val="9"/>
      <color rgb="FF5F5F5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9ECF1"/>
      </patternFill>
    </fill>
    <fill>
      <patternFill patternType="solid">
        <fgColor rgb="FF2F3A4A"/>
      </patternFill>
    </fill>
    <fill>
      <patternFill patternType="solid">
        <fgColor rgb="FF6B8FB5"/>
      </patternFill>
    </fill>
    <fill>
      <patternFill patternType="solid">
        <fgColor rgb="FF4E9C8F"/>
      </patternFill>
    </fill>
    <fill>
      <patternFill patternType="solid">
        <fgColor rgb="FF5B6BAF"/>
      </patternFill>
    </fill>
    <fill>
      <patternFill patternType="solid">
        <fgColor rgb="FFC98A3D"/>
      </patternFill>
    </fill>
    <fill>
      <patternFill patternType="solid">
        <fgColor rgb="FF7A9A5B"/>
      </patternFill>
    </fill>
    <fill>
      <patternFill patternType="solid">
        <fgColor rgb="FF8C6BA6"/>
      </patternFill>
    </fill>
    <fill>
      <patternFill patternType="lightUp">
        <fgColor rgb="FF8C6BA6"/>
        <bgColor rgb="FFFFFFFF"/>
      </patternFill>
    </fill>
    <fill>
      <patternFill patternType="solid">
        <fgColor rgb="FFFBE3E1"/>
      </patternFill>
    </fill>
  </fills>
  <borders count="4">
    <border>
      <left/>
      <right/>
      <top/>
      <bottom/>
      <diagonal/>
    </border>
    <border>
      <left/>
      <right style="thin">
        <color rgb="FFD4D9E0"/>
      </right>
      <top/>
      <bottom style="thin">
        <color rgb="FFD4D9E0"/>
      </bottom>
      <diagonal/>
    </border>
    <border>
      <left style="thin">
        <color rgb="FFAEB6C2"/>
      </left>
      <right/>
      <top/>
      <bottom style="thin">
        <color rgb="FFD4D9E0"/>
      </bottom>
      <diagonal/>
    </border>
    <border>
      <left/>
      <right/>
      <top/>
      <bottom style="thin">
        <color rgb="FFD4D9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6" fillId="2" borderId="3" xfId="0" applyFont="1" applyFill="1" applyBorder="1"/>
    <xf numFmtId="0" fontId="0" fillId="2" borderId="2" xfId="0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2" xfId="0" applyBorder="1"/>
    <xf numFmtId="0" fontId="0" fillId="0" borderId="3" xfId="0" applyBorder="1"/>
    <xf numFmtId="0" fontId="10" fillId="0" borderId="1" xfId="0" applyFont="1" applyBorder="1"/>
    <xf numFmtId="0" fontId="3" fillId="0" borderId="1" xfId="0" applyFont="1" applyBorder="1" applyAlignment="1">
      <alignment horizontal="center"/>
    </xf>
    <xf numFmtId="0" fontId="11" fillId="2" borderId="3" xfId="0" applyFont="1" applyFill="1" applyBorder="1"/>
    <xf numFmtId="0" fontId="12" fillId="2" borderId="3" xfId="0" applyFont="1" applyFill="1" applyBorder="1"/>
    <xf numFmtId="0" fontId="13" fillId="2" borderId="3" xfId="0" applyFont="1" applyFill="1" applyBorder="1"/>
    <xf numFmtId="0" fontId="14" fillId="2" borderId="3" xfId="0" applyFont="1" applyFill="1" applyBorder="1"/>
    <xf numFmtId="0" fontId="15" fillId="2" borderId="3" xfId="0" applyFont="1" applyFill="1" applyBorder="1"/>
    <xf numFmtId="0" fontId="16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3" borderId="0" xfId="0" applyFill="1"/>
    <xf numFmtId="0" fontId="0" fillId="10" borderId="0" xfId="0" applyFill="1"/>
    <xf numFmtId="0" fontId="0" fillId="11" borderId="0" xfId="0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rgb="FF2F3A4A"/>
          <bgColor rgb="FF2F3A4A"/>
        </patternFill>
      </fill>
    </dxf>
    <dxf>
      <fill>
        <patternFill patternType="lightUp">
          <fgColor rgb="FF8C6BA6"/>
          <bgColor rgb="FFFFFFFF"/>
        </patternFill>
      </fill>
    </dxf>
    <dxf>
      <fill>
        <patternFill patternType="solid">
          <fgColor rgb="FF8C6BA6"/>
          <bgColor rgb="FF8C6BA6"/>
        </patternFill>
      </fill>
    </dxf>
    <dxf>
      <fill>
        <patternFill patternType="solid">
          <fgColor rgb="FF7A9A5B"/>
          <bgColor rgb="FF7A9A5B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7A9A5B"/>
          <bgColor rgb="FF7A9A5B"/>
        </patternFill>
      </fill>
    </dxf>
    <dxf>
      <fill>
        <patternFill patternType="solid">
          <fgColor rgb="FFC98A3D"/>
          <bgColor rgb="FFC98A3D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C98A3D"/>
          <bgColor rgb="FFC98A3D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5B6BAF"/>
          <bgColor rgb="FF5B6BAF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4E9C8F"/>
          <bgColor rgb="FF4E9C8F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6B8FB5"/>
          <bgColor rgb="FF6B8FB5"/>
        </patternFill>
      </fill>
    </dxf>
    <dxf>
      <fill>
        <patternFill patternType="solid">
          <fgColor rgb="FFFBE3E1"/>
          <bgColor rgb="FFFBE3E1"/>
        </patternFill>
      </fill>
    </dxf>
  </dxfs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59"/>
  <sheetViews>
    <sheetView showGridLines="0" tabSelected="1" zoomScaleNormal="100" workbookViewId="0">
      <pane xSplit="7" ySplit="6" topLeftCell="T37" activePane="bottomRight" state="frozen"/>
      <selection pane="topRight"/>
      <selection pane="bottomLeft"/>
      <selection pane="bottomRight" activeCell="G53" sqref="G53"/>
    </sheetView>
  </sheetViews>
  <sheetFormatPr baseColWidth="10" defaultColWidth="8.85546875" defaultRowHeight="15" x14ac:dyDescent="0.25"/>
  <cols>
    <col min="1" max="1" width="6" customWidth="1"/>
    <col min="2" max="2" width="57.5703125" customWidth="1"/>
    <col min="3" max="4" width="11" customWidth="1"/>
    <col min="5" max="5" width="7" customWidth="1"/>
    <col min="6" max="6" width="13" customWidth="1"/>
    <col min="7" max="7" width="45.28515625" customWidth="1"/>
    <col min="8" max="42" width="4.28515625" customWidth="1"/>
  </cols>
  <sheetData>
    <row r="1" spans="1:42" ht="21" customHeight="1" x14ac:dyDescent="0.35">
      <c r="A1" s="1" t="s">
        <v>0</v>
      </c>
    </row>
    <row r="2" spans="1:42" x14ac:dyDescent="0.25">
      <c r="A2" s="33" t="s">
        <v>131</v>
      </c>
    </row>
    <row r="3" spans="1:42" x14ac:dyDescent="0.25">
      <c r="A3" s="32" t="s">
        <v>132</v>
      </c>
    </row>
    <row r="4" spans="1:42" x14ac:dyDescent="0.25">
      <c r="A4" s="34" t="s">
        <v>130</v>
      </c>
    </row>
    <row r="5" spans="1:42" ht="15.95" customHeight="1" x14ac:dyDescent="0.25">
      <c r="H5" s="37" t="s">
        <v>1</v>
      </c>
      <c r="I5" s="38"/>
      <c r="J5" s="38"/>
      <c r="K5" s="38"/>
      <c r="L5" s="38"/>
      <c r="M5" s="37" t="s">
        <v>2</v>
      </c>
      <c r="N5" s="38"/>
      <c r="O5" s="38"/>
      <c r="P5" s="38"/>
      <c r="Q5" s="37" t="s">
        <v>3</v>
      </c>
      <c r="R5" s="38"/>
      <c r="S5" s="38"/>
      <c r="T5" s="38"/>
      <c r="U5" s="37" t="s">
        <v>4</v>
      </c>
      <c r="V5" s="38"/>
      <c r="W5" s="38"/>
      <c r="X5" s="38"/>
      <c r="Y5" s="38"/>
      <c r="Z5" s="37" t="s">
        <v>5</v>
      </c>
      <c r="AA5" s="38"/>
      <c r="AB5" s="38"/>
      <c r="AC5" s="38"/>
      <c r="AD5" s="37" t="s">
        <v>6</v>
      </c>
      <c r="AE5" s="38"/>
      <c r="AF5" s="38"/>
      <c r="AG5" s="38"/>
      <c r="AH5" s="38"/>
      <c r="AI5" s="37" t="s">
        <v>7</v>
      </c>
      <c r="AJ5" s="38"/>
      <c r="AK5" s="38"/>
      <c r="AL5" s="38"/>
      <c r="AM5" s="37" t="s">
        <v>8</v>
      </c>
      <c r="AN5" s="38"/>
      <c r="AO5" s="38"/>
      <c r="AP5" s="38"/>
    </row>
    <row r="6" spans="1:42" ht="18" customHeigh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3">
        <v>46083</v>
      </c>
      <c r="I6" s="4">
        <v>46090</v>
      </c>
      <c r="J6" s="4">
        <v>46097</v>
      </c>
      <c r="K6" s="4">
        <v>46104</v>
      </c>
      <c r="L6" s="4">
        <v>46111</v>
      </c>
      <c r="M6" s="3">
        <v>46118</v>
      </c>
      <c r="N6" s="4">
        <v>46125</v>
      </c>
      <c r="O6" s="4">
        <v>46132</v>
      </c>
      <c r="P6" s="4">
        <v>46139</v>
      </c>
      <c r="Q6" s="3">
        <v>46146</v>
      </c>
      <c r="R6" s="4">
        <v>46153</v>
      </c>
      <c r="S6" s="4">
        <v>46160</v>
      </c>
      <c r="T6" s="4">
        <v>46167</v>
      </c>
      <c r="U6" s="3">
        <v>46174</v>
      </c>
      <c r="V6" s="4">
        <v>46181</v>
      </c>
      <c r="W6" s="4">
        <v>46188</v>
      </c>
      <c r="X6" s="4">
        <v>46195</v>
      </c>
      <c r="Y6" s="4">
        <v>46202</v>
      </c>
      <c r="Z6" s="3">
        <v>46209</v>
      </c>
      <c r="AA6" s="4">
        <v>46216</v>
      </c>
      <c r="AB6" s="4">
        <v>46223</v>
      </c>
      <c r="AC6" s="4">
        <v>46230</v>
      </c>
      <c r="AD6" s="3">
        <v>46237</v>
      </c>
      <c r="AE6" s="4">
        <v>46244</v>
      </c>
      <c r="AF6" s="4">
        <v>46251</v>
      </c>
      <c r="AG6" s="4">
        <v>46258</v>
      </c>
      <c r="AH6" s="4">
        <v>46265</v>
      </c>
      <c r="AI6" s="3">
        <v>46272</v>
      </c>
      <c r="AJ6" s="4">
        <v>46279</v>
      </c>
      <c r="AK6" s="4">
        <v>46286</v>
      </c>
      <c r="AL6" s="4">
        <v>46293</v>
      </c>
      <c r="AM6" s="3">
        <v>46300</v>
      </c>
      <c r="AN6" s="4">
        <v>46307</v>
      </c>
      <c r="AO6" s="4">
        <v>46314</v>
      </c>
      <c r="AP6" s="4">
        <v>46321</v>
      </c>
    </row>
    <row r="7" spans="1:42" ht="17.100000000000001" customHeight="1" x14ac:dyDescent="0.25">
      <c r="A7" s="5"/>
      <c r="B7" s="6" t="s">
        <v>16</v>
      </c>
      <c r="C7" s="5"/>
      <c r="D7" s="5"/>
      <c r="E7" s="5"/>
      <c r="F7" s="5"/>
      <c r="G7" s="5"/>
      <c r="H7" s="7"/>
      <c r="I7" s="5"/>
      <c r="J7" s="5"/>
      <c r="K7" s="5"/>
      <c r="L7" s="5"/>
      <c r="M7" s="7"/>
      <c r="N7" s="5"/>
      <c r="O7" s="5"/>
      <c r="P7" s="5"/>
      <c r="Q7" s="7"/>
      <c r="R7" s="5"/>
      <c r="S7" s="5"/>
      <c r="T7" s="5"/>
      <c r="U7" s="7"/>
      <c r="V7" s="5"/>
      <c r="W7" s="5"/>
      <c r="X7" s="5"/>
      <c r="Y7" s="5"/>
      <c r="Z7" s="7"/>
      <c r="AA7" s="5"/>
      <c r="AB7" s="5"/>
      <c r="AC7" s="5"/>
      <c r="AD7" s="7"/>
      <c r="AE7" s="5"/>
      <c r="AF7" s="5"/>
      <c r="AG7" s="5"/>
      <c r="AH7" s="5"/>
      <c r="AI7" s="7"/>
      <c r="AJ7" s="5"/>
      <c r="AK7" s="5"/>
      <c r="AL7" s="5"/>
      <c r="AM7" s="7"/>
      <c r="AN7" s="5"/>
      <c r="AO7" s="5"/>
      <c r="AP7" s="5"/>
    </row>
    <row r="8" spans="1:42" ht="15.6" customHeight="1" x14ac:dyDescent="0.25">
      <c r="A8" s="8" t="s">
        <v>17</v>
      </c>
      <c r="B8" s="9" t="s">
        <v>18</v>
      </c>
      <c r="C8" s="10">
        <v>46090</v>
      </c>
      <c r="D8" s="10">
        <v>46111</v>
      </c>
      <c r="E8" s="8">
        <f>IF($F8="Hito",0,$D8-$C8+1)</f>
        <v>22</v>
      </c>
      <c r="F8" s="11" t="s">
        <v>19</v>
      </c>
      <c r="G8" s="12" t="s">
        <v>20</v>
      </c>
      <c r="H8" s="13"/>
      <c r="I8" s="14"/>
      <c r="J8" s="14"/>
      <c r="K8" s="14"/>
      <c r="L8" s="14"/>
      <c r="M8" s="13"/>
      <c r="N8" s="14"/>
      <c r="O8" s="14"/>
      <c r="P8" s="14"/>
      <c r="Q8" s="13"/>
      <c r="R8" s="14"/>
      <c r="S8" s="14"/>
      <c r="T8" s="14"/>
      <c r="U8" s="13"/>
      <c r="V8" s="14"/>
      <c r="W8" s="14"/>
      <c r="X8" s="14"/>
      <c r="Y8" s="14"/>
      <c r="Z8" s="13"/>
      <c r="AA8" s="14"/>
      <c r="AB8" s="14"/>
      <c r="AC8" s="14"/>
      <c r="AD8" s="13"/>
      <c r="AE8" s="14"/>
      <c r="AF8" s="14"/>
      <c r="AG8" s="14"/>
      <c r="AH8" s="14"/>
      <c r="AI8" s="13"/>
      <c r="AJ8" s="14"/>
      <c r="AK8" s="14"/>
      <c r="AL8" s="14"/>
      <c r="AM8" s="13"/>
      <c r="AN8" s="14"/>
      <c r="AO8" s="14"/>
      <c r="AP8" s="14"/>
    </row>
    <row r="9" spans="1:42" ht="15.6" customHeight="1" x14ac:dyDescent="0.25">
      <c r="A9" s="8" t="s">
        <v>21</v>
      </c>
      <c r="B9" s="15" t="s">
        <v>107</v>
      </c>
      <c r="C9" s="10">
        <v>46111</v>
      </c>
      <c r="D9" s="10">
        <v>46111</v>
      </c>
      <c r="E9" s="8">
        <f>IF($F9="Hito",0,$D9-$C9+1)</f>
        <v>0</v>
      </c>
      <c r="F9" s="16" t="s">
        <v>28</v>
      </c>
      <c r="G9" s="12" t="s">
        <v>20</v>
      </c>
      <c r="H9" s="13"/>
      <c r="I9" s="14"/>
      <c r="J9" s="14"/>
      <c r="K9" s="14"/>
      <c r="L9" s="14"/>
      <c r="M9" s="13"/>
      <c r="N9" s="14"/>
      <c r="O9" s="14"/>
      <c r="P9" s="14"/>
      <c r="Q9" s="13"/>
      <c r="R9" s="14"/>
      <c r="S9" s="14"/>
      <c r="T9" s="14"/>
      <c r="U9" s="13"/>
      <c r="V9" s="14"/>
      <c r="W9" s="14"/>
      <c r="X9" s="14"/>
      <c r="Y9" s="14"/>
      <c r="Z9" s="13"/>
      <c r="AA9" s="14"/>
      <c r="AB9" s="14"/>
      <c r="AC9" s="14"/>
      <c r="AD9" s="13"/>
      <c r="AE9" s="14"/>
      <c r="AF9" s="14"/>
      <c r="AG9" s="14"/>
      <c r="AH9" s="14"/>
      <c r="AI9" s="13"/>
      <c r="AJ9" s="14"/>
      <c r="AK9" s="14"/>
      <c r="AL9" s="14"/>
      <c r="AM9" s="13"/>
      <c r="AN9" s="14"/>
      <c r="AO9" s="14"/>
      <c r="AP9" s="14"/>
    </row>
    <row r="10" spans="1:42" ht="15.6" customHeight="1" x14ac:dyDescent="0.25">
      <c r="A10" s="8" t="s">
        <v>23</v>
      </c>
      <c r="B10" s="9" t="s">
        <v>108</v>
      </c>
      <c r="C10" s="10">
        <v>46111</v>
      </c>
      <c r="D10" s="10">
        <v>46122</v>
      </c>
      <c r="E10" s="8">
        <f>IF($F10="Hito",0,$D10-$C10+1)</f>
        <v>12</v>
      </c>
      <c r="F10" s="11" t="s">
        <v>19</v>
      </c>
      <c r="G10" s="12" t="s">
        <v>22</v>
      </c>
      <c r="H10" s="13"/>
      <c r="I10" s="14"/>
      <c r="J10" s="14"/>
      <c r="K10" s="14"/>
      <c r="L10" s="14"/>
      <c r="M10" s="13"/>
      <c r="N10" s="14"/>
      <c r="O10" s="14"/>
      <c r="P10" s="14"/>
      <c r="Q10" s="13"/>
      <c r="R10" s="14"/>
      <c r="S10" s="14"/>
      <c r="T10" s="14"/>
      <c r="U10" s="13"/>
      <c r="V10" s="14"/>
      <c r="W10" s="14"/>
      <c r="X10" s="14"/>
      <c r="Y10" s="14"/>
      <c r="Z10" s="13"/>
      <c r="AA10" s="14"/>
      <c r="AB10" s="14"/>
      <c r="AC10" s="14"/>
      <c r="AD10" s="13"/>
      <c r="AE10" s="14"/>
      <c r="AF10" s="14"/>
      <c r="AG10" s="14"/>
      <c r="AH10" s="14"/>
      <c r="AI10" s="13"/>
      <c r="AJ10" s="14"/>
      <c r="AK10" s="14"/>
      <c r="AL10" s="14"/>
      <c r="AM10" s="13"/>
      <c r="AN10" s="14"/>
      <c r="AO10" s="14"/>
      <c r="AP10" s="14"/>
    </row>
    <row r="11" spans="1:42" ht="15.6" customHeight="1" x14ac:dyDescent="0.25">
      <c r="A11" s="8" t="s">
        <v>26</v>
      </c>
      <c r="B11" s="9" t="s">
        <v>24</v>
      </c>
      <c r="C11" s="10">
        <v>46118</v>
      </c>
      <c r="D11" s="10">
        <v>46121</v>
      </c>
      <c r="E11" s="8">
        <f>IF($F11="Hito",0,$D11-$C11+1)</f>
        <v>4</v>
      </c>
      <c r="F11" s="11" t="s">
        <v>19</v>
      </c>
      <c r="G11" s="12" t="s">
        <v>25</v>
      </c>
      <c r="H11" s="13"/>
      <c r="I11" s="14"/>
      <c r="J11" s="14"/>
      <c r="K11" s="14"/>
      <c r="L11" s="14"/>
      <c r="M11" s="13"/>
      <c r="N11" s="14"/>
      <c r="O11" s="14"/>
      <c r="P11" s="14"/>
      <c r="Q11" s="13"/>
      <c r="R11" s="14"/>
      <c r="S11" s="14"/>
      <c r="T11" s="14"/>
      <c r="U11" s="13"/>
      <c r="V11" s="14"/>
      <c r="W11" s="14"/>
      <c r="X11" s="14"/>
      <c r="Y11" s="14"/>
      <c r="Z11" s="13"/>
      <c r="AA11" s="14"/>
      <c r="AB11" s="14"/>
      <c r="AC11" s="14"/>
      <c r="AD11" s="13"/>
      <c r="AE11" s="14"/>
      <c r="AF11" s="14"/>
      <c r="AG11" s="14"/>
      <c r="AH11" s="14"/>
      <c r="AI11" s="13"/>
      <c r="AJ11" s="14"/>
      <c r="AK11" s="14"/>
      <c r="AL11" s="14"/>
      <c r="AM11" s="13"/>
      <c r="AN11" s="14"/>
      <c r="AO11" s="14"/>
      <c r="AP11" s="14"/>
    </row>
    <row r="12" spans="1:42" ht="15.6" customHeight="1" x14ac:dyDescent="0.25">
      <c r="A12" s="8" t="s">
        <v>106</v>
      </c>
      <c r="B12" s="15" t="s">
        <v>27</v>
      </c>
      <c r="C12" s="10">
        <v>46122</v>
      </c>
      <c r="D12" s="10">
        <v>46122</v>
      </c>
      <c r="E12" s="8">
        <f>IF($F12="Hito",0,$D12-$C12+1)</f>
        <v>0</v>
      </c>
      <c r="F12" s="16" t="s">
        <v>28</v>
      </c>
      <c r="G12" s="12" t="s">
        <v>29</v>
      </c>
      <c r="H12" s="13"/>
      <c r="I12" s="14"/>
      <c r="J12" s="14"/>
      <c r="K12" s="14"/>
      <c r="L12" s="14"/>
      <c r="M12" s="13"/>
      <c r="N12" s="14"/>
      <c r="O12" s="14"/>
      <c r="P12" s="14"/>
      <c r="Q12" s="13"/>
      <c r="R12" s="14"/>
      <c r="S12" s="14"/>
      <c r="T12" s="14"/>
      <c r="U12" s="13"/>
      <c r="V12" s="14"/>
      <c r="W12" s="14"/>
      <c r="X12" s="14"/>
      <c r="Y12" s="14"/>
      <c r="Z12" s="13"/>
      <c r="AA12" s="14"/>
      <c r="AB12" s="14"/>
      <c r="AC12" s="14"/>
      <c r="AD12" s="13"/>
      <c r="AE12" s="14"/>
      <c r="AF12" s="14"/>
      <c r="AG12" s="14"/>
      <c r="AH12" s="14"/>
      <c r="AI12" s="13"/>
      <c r="AJ12" s="14"/>
      <c r="AK12" s="14"/>
      <c r="AL12" s="14"/>
      <c r="AM12" s="13"/>
      <c r="AN12" s="14"/>
      <c r="AO12" s="14"/>
      <c r="AP12" s="14"/>
    </row>
    <row r="13" spans="1:42" ht="17.100000000000001" customHeight="1" x14ac:dyDescent="0.25">
      <c r="A13" s="5"/>
      <c r="B13" s="17" t="s">
        <v>30</v>
      </c>
      <c r="C13" s="5"/>
      <c r="D13" s="5"/>
      <c r="E13" s="5"/>
      <c r="F13" s="5"/>
      <c r="G13" s="5"/>
      <c r="H13" s="7"/>
      <c r="I13" s="5"/>
      <c r="J13" s="5"/>
      <c r="K13" s="5"/>
      <c r="L13" s="5"/>
      <c r="M13" s="7"/>
      <c r="N13" s="5"/>
      <c r="O13" s="5"/>
      <c r="P13" s="5"/>
      <c r="Q13" s="7"/>
      <c r="R13" s="5"/>
      <c r="S13" s="5"/>
      <c r="T13" s="5"/>
      <c r="U13" s="7"/>
      <c r="V13" s="5"/>
      <c r="W13" s="5"/>
      <c r="X13" s="5"/>
      <c r="Y13" s="5"/>
      <c r="Z13" s="7"/>
      <c r="AA13" s="5"/>
      <c r="AB13" s="5"/>
      <c r="AC13" s="5"/>
      <c r="AD13" s="7"/>
      <c r="AE13" s="5"/>
      <c r="AF13" s="5"/>
      <c r="AG13" s="5"/>
      <c r="AH13" s="5"/>
      <c r="AI13" s="7"/>
      <c r="AJ13" s="5"/>
      <c r="AK13" s="5"/>
      <c r="AL13" s="5"/>
      <c r="AM13" s="7"/>
      <c r="AN13" s="5"/>
      <c r="AO13" s="5"/>
      <c r="AP13" s="5"/>
    </row>
    <row r="14" spans="1:42" ht="15.6" customHeight="1" x14ac:dyDescent="0.25">
      <c r="A14" s="8" t="s">
        <v>31</v>
      </c>
      <c r="B14" s="9" t="s">
        <v>121</v>
      </c>
      <c r="C14" s="10">
        <v>46097</v>
      </c>
      <c r="D14" s="10">
        <v>46122</v>
      </c>
      <c r="E14" s="8">
        <f t="shared" ref="E14:E19" si="0">IF($F14="Hito",0,$D14-$C14+1)</f>
        <v>26</v>
      </c>
      <c r="F14" s="11" t="s">
        <v>19</v>
      </c>
      <c r="G14" s="12" t="s">
        <v>109</v>
      </c>
      <c r="H14" s="13"/>
      <c r="I14" s="14"/>
      <c r="J14" s="14"/>
      <c r="K14" s="14"/>
      <c r="L14" s="14"/>
      <c r="M14" s="13"/>
      <c r="N14" s="14"/>
      <c r="O14" s="14"/>
      <c r="P14" s="14"/>
      <c r="Q14" s="13"/>
      <c r="R14" s="14"/>
      <c r="S14" s="14"/>
      <c r="T14" s="14"/>
      <c r="U14" s="13"/>
      <c r="V14" s="14"/>
      <c r="W14" s="14"/>
      <c r="X14" s="14"/>
      <c r="Y14" s="14"/>
      <c r="Z14" s="13"/>
      <c r="AA14" s="14"/>
      <c r="AB14" s="14"/>
      <c r="AC14" s="14"/>
      <c r="AD14" s="13"/>
      <c r="AE14" s="14"/>
      <c r="AF14" s="14"/>
      <c r="AG14" s="14"/>
      <c r="AH14" s="14"/>
      <c r="AI14" s="13"/>
      <c r="AJ14" s="14"/>
      <c r="AK14" s="14"/>
      <c r="AL14" s="14"/>
      <c r="AM14" s="13"/>
      <c r="AN14" s="14"/>
      <c r="AO14" s="14"/>
      <c r="AP14" s="14"/>
    </row>
    <row r="15" spans="1:42" ht="15.6" customHeight="1" x14ac:dyDescent="0.25">
      <c r="A15" s="8" t="s">
        <v>32</v>
      </c>
      <c r="B15" s="9" t="s">
        <v>120</v>
      </c>
      <c r="C15" s="10">
        <v>46118</v>
      </c>
      <c r="D15" s="10">
        <v>46171</v>
      </c>
      <c r="E15" s="8">
        <f t="shared" si="0"/>
        <v>54</v>
      </c>
      <c r="F15" s="11" t="s">
        <v>19</v>
      </c>
      <c r="G15" s="12" t="s">
        <v>110</v>
      </c>
      <c r="H15" s="13"/>
      <c r="I15" s="14"/>
      <c r="J15" s="14"/>
      <c r="K15" s="14"/>
      <c r="L15" s="14"/>
      <c r="M15" s="13"/>
      <c r="N15" s="14"/>
      <c r="O15" s="14"/>
      <c r="P15" s="14"/>
      <c r="Q15" s="13"/>
      <c r="R15" s="14"/>
      <c r="S15" s="14"/>
      <c r="T15" s="14"/>
      <c r="U15" s="13"/>
      <c r="V15" s="14"/>
      <c r="W15" s="14"/>
      <c r="X15" s="14"/>
      <c r="Y15" s="14"/>
      <c r="Z15" s="13"/>
      <c r="AA15" s="14"/>
      <c r="AB15" s="14"/>
      <c r="AC15" s="14"/>
      <c r="AD15" s="13"/>
      <c r="AE15" s="14"/>
      <c r="AF15" s="14"/>
      <c r="AG15" s="14"/>
      <c r="AH15" s="14"/>
      <c r="AI15" s="13"/>
      <c r="AJ15" s="14"/>
      <c r="AK15" s="14"/>
      <c r="AL15" s="14"/>
      <c r="AM15" s="13"/>
      <c r="AN15" s="14"/>
      <c r="AO15" s="14"/>
      <c r="AP15" s="14"/>
    </row>
    <row r="16" spans="1:42" ht="15.6" customHeight="1" x14ac:dyDescent="0.25">
      <c r="A16" s="8" t="s">
        <v>33</v>
      </c>
      <c r="B16" s="9" t="s">
        <v>122</v>
      </c>
      <c r="C16" s="10">
        <v>46132</v>
      </c>
      <c r="D16" s="10">
        <v>46178</v>
      </c>
      <c r="E16" s="8">
        <f t="shared" si="0"/>
        <v>47</v>
      </c>
      <c r="F16" s="11" t="s">
        <v>19</v>
      </c>
      <c r="G16" s="12" t="s">
        <v>111</v>
      </c>
      <c r="H16" s="13"/>
      <c r="I16" s="14"/>
      <c r="J16" s="14"/>
      <c r="K16" s="14"/>
      <c r="L16" s="14"/>
      <c r="M16" s="13"/>
      <c r="N16" s="14"/>
      <c r="O16" s="14"/>
      <c r="P16" s="14"/>
      <c r="Q16" s="13"/>
      <c r="R16" s="14"/>
      <c r="S16" s="14"/>
      <c r="T16" s="14"/>
      <c r="U16" s="13"/>
      <c r="V16" s="14"/>
      <c r="W16" s="14"/>
      <c r="X16" s="14"/>
      <c r="Y16" s="14"/>
      <c r="Z16" s="13"/>
      <c r="AA16" s="14"/>
      <c r="AB16" s="14"/>
      <c r="AC16" s="14"/>
      <c r="AD16" s="13"/>
      <c r="AE16" s="14"/>
      <c r="AF16" s="14"/>
      <c r="AG16" s="14"/>
      <c r="AH16" s="14"/>
      <c r="AI16" s="13"/>
      <c r="AJ16" s="14"/>
      <c r="AK16" s="14"/>
      <c r="AL16" s="14"/>
      <c r="AM16" s="13"/>
      <c r="AN16" s="14"/>
      <c r="AO16" s="14"/>
      <c r="AP16" s="14"/>
    </row>
    <row r="17" spans="1:42" ht="15.6" customHeight="1" x14ac:dyDescent="0.25">
      <c r="A17" s="8" t="s">
        <v>34</v>
      </c>
      <c r="B17" s="9" t="s">
        <v>123</v>
      </c>
      <c r="C17" s="10">
        <v>46146</v>
      </c>
      <c r="D17" s="10">
        <v>46186</v>
      </c>
      <c r="E17" s="8">
        <f t="shared" si="0"/>
        <v>41</v>
      </c>
      <c r="F17" s="11" t="s">
        <v>19</v>
      </c>
      <c r="G17" s="12" t="s">
        <v>124</v>
      </c>
      <c r="H17" s="13"/>
      <c r="I17" s="14"/>
      <c r="J17" s="14"/>
      <c r="K17" s="14"/>
      <c r="L17" s="14"/>
      <c r="M17" s="13"/>
      <c r="N17" s="14"/>
      <c r="O17" s="14"/>
      <c r="P17" s="14"/>
      <c r="Q17" s="13"/>
      <c r="R17" s="14"/>
      <c r="S17" s="14"/>
      <c r="T17" s="14"/>
      <c r="U17" s="13"/>
      <c r="V17" s="14"/>
      <c r="W17" s="14"/>
      <c r="X17" s="14"/>
      <c r="Y17" s="14"/>
      <c r="Z17" s="13"/>
      <c r="AA17" s="14"/>
      <c r="AB17" s="14"/>
      <c r="AC17" s="14"/>
      <c r="AD17" s="13"/>
      <c r="AE17" s="14"/>
      <c r="AF17" s="14"/>
      <c r="AG17" s="14"/>
      <c r="AH17" s="14"/>
      <c r="AI17" s="13"/>
      <c r="AJ17" s="14"/>
      <c r="AK17" s="14"/>
      <c r="AL17" s="14"/>
      <c r="AM17" s="13"/>
      <c r="AN17" s="14"/>
      <c r="AO17" s="14"/>
      <c r="AP17" s="14"/>
    </row>
    <row r="18" spans="1:42" ht="15.6" customHeight="1" x14ac:dyDescent="0.25">
      <c r="A18" s="8" t="s">
        <v>35</v>
      </c>
      <c r="B18" s="9" t="s">
        <v>36</v>
      </c>
      <c r="C18" s="10">
        <v>46153</v>
      </c>
      <c r="D18" s="10">
        <v>46186</v>
      </c>
      <c r="E18" s="8">
        <f t="shared" si="0"/>
        <v>34</v>
      </c>
      <c r="F18" s="11" t="s">
        <v>19</v>
      </c>
      <c r="G18" s="12" t="s">
        <v>112</v>
      </c>
      <c r="H18" s="13"/>
      <c r="I18" s="14"/>
      <c r="J18" s="14"/>
      <c r="K18" s="14"/>
      <c r="L18" s="14"/>
      <c r="M18" s="13"/>
      <c r="N18" s="14"/>
      <c r="O18" s="14"/>
      <c r="P18" s="14"/>
      <c r="Q18" s="13"/>
      <c r="R18" s="14"/>
      <c r="S18" s="14"/>
      <c r="T18" s="14"/>
      <c r="U18" s="13"/>
      <c r="V18" s="14"/>
      <c r="W18" s="14"/>
      <c r="X18" s="14"/>
      <c r="Y18" s="14"/>
      <c r="Z18" s="13"/>
      <c r="AA18" s="14"/>
      <c r="AB18" s="14"/>
      <c r="AC18" s="14"/>
      <c r="AD18" s="13"/>
      <c r="AE18" s="14"/>
      <c r="AF18" s="14"/>
      <c r="AG18" s="14"/>
      <c r="AH18" s="14"/>
      <c r="AI18" s="13"/>
      <c r="AJ18" s="14"/>
      <c r="AK18" s="14"/>
      <c r="AL18" s="14"/>
      <c r="AM18" s="13"/>
      <c r="AN18" s="14"/>
      <c r="AO18" s="14"/>
      <c r="AP18" s="14"/>
    </row>
    <row r="19" spans="1:42" ht="15.6" customHeight="1" x14ac:dyDescent="0.25">
      <c r="A19" s="8" t="s">
        <v>37</v>
      </c>
      <c r="B19" s="15" t="s">
        <v>38</v>
      </c>
      <c r="C19" s="10">
        <v>46188</v>
      </c>
      <c r="D19" s="10">
        <v>46188</v>
      </c>
      <c r="E19" s="8">
        <f t="shared" si="0"/>
        <v>0</v>
      </c>
      <c r="F19" s="16" t="s">
        <v>28</v>
      </c>
      <c r="G19" s="12" t="s">
        <v>39</v>
      </c>
      <c r="H19" s="13"/>
      <c r="I19" s="14"/>
      <c r="J19" s="14"/>
      <c r="K19" s="14"/>
      <c r="L19" s="14"/>
      <c r="M19" s="13"/>
      <c r="N19" s="14"/>
      <c r="O19" s="14"/>
      <c r="P19" s="14"/>
      <c r="Q19" s="13"/>
      <c r="R19" s="14"/>
      <c r="S19" s="14"/>
      <c r="T19" s="14"/>
      <c r="U19" s="13"/>
      <c r="V19" s="14"/>
      <c r="W19" s="14"/>
      <c r="X19" s="14"/>
      <c r="Y19" s="14"/>
      <c r="Z19" s="13"/>
      <c r="AA19" s="14"/>
      <c r="AB19" s="14"/>
      <c r="AC19" s="14"/>
      <c r="AD19" s="13"/>
      <c r="AE19" s="14"/>
      <c r="AF19" s="14"/>
      <c r="AG19" s="14"/>
      <c r="AH19" s="14"/>
      <c r="AI19" s="13"/>
      <c r="AJ19" s="14"/>
      <c r="AK19" s="14"/>
      <c r="AL19" s="14"/>
      <c r="AM19" s="13"/>
      <c r="AN19" s="14"/>
      <c r="AO19" s="14"/>
      <c r="AP19" s="14"/>
    </row>
    <row r="20" spans="1:42" ht="17.100000000000001" customHeight="1" x14ac:dyDescent="0.25">
      <c r="A20" s="5"/>
      <c r="B20" s="18" t="s">
        <v>40</v>
      </c>
      <c r="C20" s="5"/>
      <c r="D20" s="5"/>
      <c r="E20" s="5"/>
      <c r="F20" s="5"/>
      <c r="G20" s="5"/>
      <c r="H20" s="7"/>
      <c r="I20" s="5"/>
      <c r="J20" s="5"/>
      <c r="K20" s="5"/>
      <c r="L20" s="5"/>
      <c r="M20" s="7"/>
      <c r="N20" s="5"/>
      <c r="O20" s="5"/>
      <c r="P20" s="5"/>
      <c r="Q20" s="7"/>
      <c r="R20" s="5"/>
      <c r="S20" s="5"/>
      <c r="T20" s="5"/>
      <c r="U20" s="7"/>
      <c r="V20" s="5"/>
      <c r="W20" s="5"/>
      <c r="X20" s="5"/>
      <c r="Y20" s="5"/>
      <c r="Z20" s="7"/>
      <c r="AA20" s="5"/>
      <c r="AB20" s="5"/>
      <c r="AC20" s="5"/>
      <c r="AD20" s="7"/>
      <c r="AE20" s="5"/>
      <c r="AF20" s="5"/>
      <c r="AG20" s="5"/>
      <c r="AH20" s="5"/>
      <c r="AI20" s="7"/>
      <c r="AJ20" s="5"/>
      <c r="AK20" s="5"/>
      <c r="AL20" s="5"/>
      <c r="AM20" s="7"/>
      <c r="AN20" s="5"/>
      <c r="AO20" s="5"/>
      <c r="AP20" s="5"/>
    </row>
    <row r="21" spans="1:42" ht="15.6" customHeight="1" x14ac:dyDescent="0.25">
      <c r="A21" s="8" t="s">
        <v>41</v>
      </c>
      <c r="B21" s="9" t="s">
        <v>125</v>
      </c>
      <c r="C21" s="10">
        <v>46157</v>
      </c>
      <c r="D21" s="10">
        <v>46167</v>
      </c>
      <c r="E21" s="8">
        <f t="shared" ref="E21:E26" si="1">IF($F21="Hito",0,$D21-$C21+1)</f>
        <v>11</v>
      </c>
      <c r="F21" s="11" t="s">
        <v>19</v>
      </c>
      <c r="G21" s="12" t="s">
        <v>42</v>
      </c>
      <c r="H21" s="13"/>
      <c r="I21" s="14"/>
      <c r="J21" s="14"/>
      <c r="K21" s="14"/>
      <c r="L21" s="14"/>
      <c r="M21" s="13"/>
      <c r="N21" s="14"/>
      <c r="O21" s="14"/>
      <c r="P21" s="14"/>
      <c r="Q21" s="13"/>
      <c r="R21" s="14"/>
      <c r="S21" s="14"/>
      <c r="T21" s="14"/>
      <c r="U21" s="13"/>
      <c r="V21" s="14"/>
      <c r="W21" s="14"/>
      <c r="X21" s="14"/>
      <c r="Y21" s="14"/>
      <c r="Z21" s="13"/>
      <c r="AA21" s="14"/>
      <c r="AB21" s="14"/>
      <c r="AC21" s="14"/>
      <c r="AD21" s="13"/>
      <c r="AE21" s="14"/>
      <c r="AF21" s="14"/>
      <c r="AG21" s="14"/>
      <c r="AH21" s="14"/>
      <c r="AI21" s="13"/>
      <c r="AJ21" s="14"/>
      <c r="AK21" s="14"/>
      <c r="AL21" s="14"/>
      <c r="AM21" s="13"/>
      <c r="AN21" s="14"/>
      <c r="AO21" s="14"/>
      <c r="AP21" s="14"/>
    </row>
    <row r="22" spans="1:42" ht="15.6" customHeight="1" x14ac:dyDescent="0.25">
      <c r="A22" s="8" t="s">
        <v>43</v>
      </c>
      <c r="B22" s="9" t="s">
        <v>44</v>
      </c>
      <c r="C22" s="10">
        <v>46157</v>
      </c>
      <c r="D22" s="10">
        <v>46201</v>
      </c>
      <c r="E22" s="8">
        <f t="shared" si="1"/>
        <v>45</v>
      </c>
      <c r="F22" s="11" t="s">
        <v>19</v>
      </c>
      <c r="G22" s="12" t="s">
        <v>45</v>
      </c>
      <c r="H22" s="13"/>
      <c r="I22" s="14"/>
      <c r="J22" s="14"/>
      <c r="K22" s="14"/>
      <c r="L22" s="14"/>
      <c r="M22" s="13"/>
      <c r="N22" s="14"/>
      <c r="O22" s="14"/>
      <c r="P22" s="14"/>
      <c r="Q22" s="13"/>
      <c r="R22" s="14"/>
      <c r="S22" s="14"/>
      <c r="T22" s="14"/>
      <c r="U22" s="13"/>
      <c r="V22" s="14"/>
      <c r="W22" s="14"/>
      <c r="X22" s="14"/>
      <c r="Y22" s="14"/>
      <c r="Z22" s="13"/>
      <c r="AA22" s="14"/>
      <c r="AB22" s="14"/>
      <c r="AC22" s="14"/>
      <c r="AD22" s="13"/>
      <c r="AE22" s="14"/>
      <c r="AF22" s="14"/>
      <c r="AG22" s="14"/>
      <c r="AH22" s="14"/>
      <c r="AI22" s="13"/>
      <c r="AJ22" s="14"/>
      <c r="AK22" s="14"/>
      <c r="AL22" s="14"/>
      <c r="AM22" s="13"/>
      <c r="AN22" s="14"/>
      <c r="AO22" s="14"/>
      <c r="AP22" s="14"/>
    </row>
    <row r="23" spans="1:42" ht="15.6" customHeight="1" x14ac:dyDescent="0.25">
      <c r="A23" s="8" t="s">
        <v>46</v>
      </c>
      <c r="B23" s="9" t="s">
        <v>47</v>
      </c>
      <c r="C23" s="10">
        <v>46188</v>
      </c>
      <c r="D23" s="10">
        <v>46193</v>
      </c>
      <c r="E23" s="8">
        <f t="shared" si="1"/>
        <v>6</v>
      </c>
      <c r="F23" s="11" t="s">
        <v>19</v>
      </c>
      <c r="G23" s="12" t="s">
        <v>48</v>
      </c>
      <c r="H23" s="13"/>
      <c r="I23" s="14"/>
      <c r="J23" s="14"/>
      <c r="K23" s="14"/>
      <c r="L23" s="14"/>
      <c r="M23" s="13"/>
      <c r="N23" s="14"/>
      <c r="O23" s="14"/>
      <c r="P23" s="14"/>
      <c r="Q23" s="13"/>
      <c r="R23" s="14"/>
      <c r="S23" s="14"/>
      <c r="T23" s="14"/>
      <c r="U23" s="13"/>
      <c r="V23" s="14"/>
      <c r="W23" s="14"/>
      <c r="X23" s="14"/>
      <c r="Y23" s="14"/>
      <c r="Z23" s="13"/>
      <c r="AA23" s="14"/>
      <c r="AB23" s="14"/>
      <c r="AC23" s="14"/>
      <c r="AD23" s="13"/>
      <c r="AE23" s="14"/>
      <c r="AF23" s="14"/>
      <c r="AG23" s="14"/>
      <c r="AH23" s="14"/>
      <c r="AI23" s="13"/>
      <c r="AJ23" s="14"/>
      <c r="AK23" s="14"/>
      <c r="AL23" s="14"/>
      <c r="AM23" s="13"/>
      <c r="AN23" s="14"/>
      <c r="AO23" s="14"/>
      <c r="AP23" s="14"/>
    </row>
    <row r="24" spans="1:42" ht="15.6" customHeight="1" x14ac:dyDescent="0.25">
      <c r="A24" s="8" t="s">
        <v>49</v>
      </c>
      <c r="B24" s="9" t="s">
        <v>50</v>
      </c>
      <c r="C24" s="10">
        <v>46188</v>
      </c>
      <c r="D24" s="10">
        <v>46203</v>
      </c>
      <c r="E24" s="8">
        <f t="shared" si="1"/>
        <v>16</v>
      </c>
      <c r="F24" s="11" t="s">
        <v>19</v>
      </c>
      <c r="G24" s="12" t="s">
        <v>51</v>
      </c>
      <c r="H24" s="13"/>
      <c r="I24" s="14"/>
      <c r="J24" s="14"/>
      <c r="K24" s="14"/>
      <c r="L24" s="14"/>
      <c r="M24" s="13"/>
      <c r="N24" s="14"/>
      <c r="O24" s="14"/>
      <c r="P24" s="14"/>
      <c r="Q24" s="13"/>
      <c r="R24" s="14"/>
      <c r="S24" s="14"/>
      <c r="T24" s="14"/>
      <c r="U24" s="13"/>
      <c r="V24" s="14"/>
      <c r="W24" s="14"/>
      <c r="X24" s="14"/>
      <c r="Y24" s="14"/>
      <c r="Z24" s="13"/>
      <c r="AA24" s="14"/>
      <c r="AB24" s="14"/>
      <c r="AC24" s="14"/>
      <c r="AD24" s="13"/>
      <c r="AE24" s="14"/>
      <c r="AF24" s="14"/>
      <c r="AG24" s="14"/>
      <c r="AH24" s="14"/>
      <c r="AI24" s="13"/>
      <c r="AJ24" s="14"/>
      <c r="AK24" s="14"/>
      <c r="AL24" s="14"/>
      <c r="AM24" s="13"/>
      <c r="AN24" s="14"/>
      <c r="AO24" s="14"/>
      <c r="AP24" s="14"/>
    </row>
    <row r="25" spans="1:42" ht="15.6" customHeight="1" x14ac:dyDescent="0.25">
      <c r="A25" s="8" t="s">
        <v>52</v>
      </c>
      <c r="B25" s="9" t="s">
        <v>53</v>
      </c>
      <c r="C25" s="10">
        <v>46198</v>
      </c>
      <c r="D25" s="10">
        <v>46201</v>
      </c>
      <c r="E25" s="8">
        <f t="shared" si="1"/>
        <v>4</v>
      </c>
      <c r="F25" s="11" t="s">
        <v>19</v>
      </c>
      <c r="G25" s="12" t="s">
        <v>113</v>
      </c>
      <c r="H25" s="13"/>
      <c r="I25" s="14"/>
      <c r="J25" s="14"/>
      <c r="K25" s="14"/>
      <c r="L25" s="14"/>
      <c r="M25" s="13"/>
      <c r="N25" s="14"/>
      <c r="O25" s="14"/>
      <c r="P25" s="14"/>
      <c r="Q25" s="13"/>
      <c r="R25" s="14"/>
      <c r="S25" s="14"/>
      <c r="T25" s="14"/>
      <c r="U25" s="13"/>
      <c r="V25" s="14"/>
      <c r="W25" s="14"/>
      <c r="X25" s="14"/>
      <c r="Y25" s="14"/>
      <c r="Z25" s="13"/>
      <c r="AA25" s="14"/>
      <c r="AB25" s="14"/>
      <c r="AC25" s="14"/>
      <c r="AD25" s="13"/>
      <c r="AE25" s="14"/>
      <c r="AF25" s="14"/>
      <c r="AG25" s="14"/>
      <c r="AH25" s="14"/>
      <c r="AI25" s="13"/>
      <c r="AJ25" s="14"/>
      <c r="AK25" s="14"/>
      <c r="AL25" s="14"/>
      <c r="AM25" s="13"/>
      <c r="AN25" s="14"/>
      <c r="AO25" s="14"/>
      <c r="AP25" s="14"/>
    </row>
    <row r="26" spans="1:42" ht="15.6" customHeight="1" x14ac:dyDescent="0.25">
      <c r="A26" s="8" t="s">
        <v>54</v>
      </c>
      <c r="B26" s="15" t="s">
        <v>126</v>
      </c>
      <c r="C26" s="10">
        <v>46203</v>
      </c>
      <c r="D26" s="10">
        <v>46203</v>
      </c>
      <c r="E26" s="8">
        <f t="shared" si="1"/>
        <v>0</v>
      </c>
      <c r="F26" s="16" t="s">
        <v>28</v>
      </c>
      <c r="G26" s="12" t="s">
        <v>55</v>
      </c>
      <c r="H26" s="13"/>
      <c r="I26" s="14"/>
      <c r="J26" s="14"/>
      <c r="K26" s="14"/>
      <c r="L26" s="14"/>
      <c r="M26" s="13"/>
      <c r="N26" s="14"/>
      <c r="O26" s="14"/>
      <c r="P26" s="14"/>
      <c r="Q26" s="13"/>
      <c r="R26" s="14"/>
      <c r="S26" s="14"/>
      <c r="T26" s="14"/>
      <c r="U26" s="13"/>
      <c r="V26" s="14"/>
      <c r="W26" s="14"/>
      <c r="X26" s="14"/>
      <c r="Y26" s="14"/>
      <c r="Z26" s="13"/>
      <c r="AA26" s="14"/>
      <c r="AB26" s="14"/>
      <c r="AC26" s="14"/>
      <c r="AD26" s="13"/>
      <c r="AE26" s="14"/>
      <c r="AF26" s="14"/>
      <c r="AG26" s="14"/>
      <c r="AH26" s="14"/>
      <c r="AI26" s="13"/>
      <c r="AJ26" s="14"/>
      <c r="AK26" s="14"/>
      <c r="AL26" s="14"/>
      <c r="AM26" s="13"/>
      <c r="AN26" s="14"/>
      <c r="AO26" s="14"/>
      <c r="AP26" s="14"/>
    </row>
    <row r="27" spans="1:42" ht="17.100000000000001" customHeight="1" x14ac:dyDescent="0.25">
      <c r="A27" s="5"/>
      <c r="B27" s="19" t="s">
        <v>56</v>
      </c>
      <c r="C27" s="5"/>
      <c r="D27" s="5"/>
      <c r="E27" s="5"/>
      <c r="F27" s="5"/>
      <c r="G27" s="5"/>
      <c r="H27" s="7"/>
      <c r="I27" s="5"/>
      <c r="J27" s="5"/>
      <c r="K27" s="5"/>
      <c r="L27" s="5"/>
      <c r="M27" s="7"/>
      <c r="N27" s="5"/>
      <c r="O27" s="5"/>
      <c r="P27" s="5"/>
      <c r="Q27" s="7"/>
      <c r="R27" s="5"/>
      <c r="S27" s="5"/>
      <c r="T27" s="5"/>
      <c r="U27" s="7"/>
      <c r="V27" s="5"/>
      <c r="W27" s="5"/>
      <c r="X27" s="5"/>
      <c r="Y27" s="5"/>
      <c r="Z27" s="7"/>
      <c r="AA27" s="5"/>
      <c r="AB27" s="5"/>
      <c r="AC27" s="5"/>
      <c r="AD27" s="7"/>
      <c r="AE27" s="5"/>
      <c r="AF27" s="5"/>
      <c r="AG27" s="5"/>
      <c r="AH27" s="5"/>
      <c r="AI27" s="7"/>
      <c r="AJ27" s="5"/>
      <c r="AK27" s="5"/>
      <c r="AL27" s="5"/>
      <c r="AM27" s="7"/>
      <c r="AN27" s="5"/>
      <c r="AO27" s="5"/>
      <c r="AP27" s="5"/>
    </row>
    <row r="28" spans="1:42" ht="15.6" customHeight="1" x14ac:dyDescent="0.25">
      <c r="A28" s="8" t="s">
        <v>57</v>
      </c>
      <c r="B28" s="9" t="s">
        <v>58</v>
      </c>
      <c r="C28" s="10">
        <v>46204</v>
      </c>
      <c r="D28" s="10">
        <v>46212</v>
      </c>
      <c r="E28" s="8">
        <f t="shared" ref="E28:E33" si="2">IF($F28="Hito",0,$D28-$C28+1)</f>
        <v>9</v>
      </c>
      <c r="F28" s="11" t="s">
        <v>19</v>
      </c>
      <c r="G28" s="12" t="s">
        <v>114</v>
      </c>
      <c r="H28" s="13"/>
      <c r="I28" s="14"/>
      <c r="J28" s="14"/>
      <c r="K28" s="14"/>
      <c r="L28" s="14"/>
      <c r="M28" s="13"/>
      <c r="N28" s="14"/>
      <c r="O28" s="14"/>
      <c r="P28" s="14"/>
      <c r="Q28" s="13"/>
      <c r="R28" s="14"/>
      <c r="S28" s="14"/>
      <c r="T28" s="14"/>
      <c r="U28" s="13"/>
      <c r="V28" s="14"/>
      <c r="W28" s="14"/>
      <c r="X28" s="14"/>
      <c r="Y28" s="14"/>
      <c r="Z28" s="13"/>
      <c r="AA28" s="14"/>
      <c r="AB28" s="14"/>
      <c r="AC28" s="14"/>
      <c r="AD28" s="13"/>
      <c r="AE28" s="14"/>
      <c r="AF28" s="14"/>
      <c r="AG28" s="14"/>
      <c r="AH28" s="14"/>
      <c r="AI28" s="13"/>
      <c r="AJ28" s="14"/>
      <c r="AK28" s="14"/>
      <c r="AL28" s="14"/>
      <c r="AM28" s="13"/>
      <c r="AN28" s="14"/>
      <c r="AO28" s="14"/>
      <c r="AP28" s="14"/>
    </row>
    <row r="29" spans="1:42" ht="15.6" customHeight="1" x14ac:dyDescent="0.25">
      <c r="A29" s="8" t="s">
        <v>59</v>
      </c>
      <c r="B29" s="9" t="s">
        <v>60</v>
      </c>
      <c r="C29" s="10">
        <v>46212</v>
      </c>
      <c r="D29" s="10">
        <v>46224</v>
      </c>
      <c r="E29" s="8">
        <f t="shared" si="2"/>
        <v>13</v>
      </c>
      <c r="F29" s="11" t="s">
        <v>19</v>
      </c>
      <c r="G29" s="12" t="s">
        <v>61</v>
      </c>
      <c r="H29" s="13"/>
      <c r="I29" s="14"/>
      <c r="J29" s="14"/>
      <c r="K29" s="14"/>
      <c r="L29" s="14"/>
      <c r="M29" s="13"/>
      <c r="N29" s="14"/>
      <c r="O29" s="14"/>
      <c r="P29" s="14"/>
      <c r="Q29" s="13"/>
      <c r="R29" s="14"/>
      <c r="S29" s="14"/>
      <c r="T29" s="14"/>
      <c r="U29" s="13"/>
      <c r="V29" s="14"/>
      <c r="W29" s="14"/>
      <c r="X29" s="14"/>
      <c r="Y29" s="14"/>
      <c r="Z29" s="13"/>
      <c r="AA29" s="14"/>
      <c r="AB29" s="14"/>
      <c r="AC29" s="14"/>
      <c r="AD29" s="13"/>
      <c r="AE29" s="14"/>
      <c r="AF29" s="14"/>
      <c r="AG29" s="14"/>
      <c r="AH29" s="14"/>
      <c r="AI29" s="13"/>
      <c r="AJ29" s="14"/>
      <c r="AK29" s="14"/>
      <c r="AL29" s="14"/>
      <c r="AM29" s="13"/>
      <c r="AN29" s="14"/>
      <c r="AO29" s="14"/>
      <c r="AP29" s="14"/>
    </row>
    <row r="30" spans="1:42" ht="15.6" customHeight="1" x14ac:dyDescent="0.25">
      <c r="A30" s="8" t="s">
        <v>62</v>
      </c>
      <c r="B30" s="9" t="s">
        <v>63</v>
      </c>
      <c r="C30" s="10">
        <v>46212</v>
      </c>
      <c r="D30" s="10">
        <v>46230</v>
      </c>
      <c r="E30" s="8">
        <f t="shared" si="2"/>
        <v>19</v>
      </c>
      <c r="F30" s="11" t="s">
        <v>19</v>
      </c>
      <c r="G30" s="12" t="s">
        <v>64</v>
      </c>
      <c r="H30" s="13"/>
      <c r="I30" s="14"/>
      <c r="J30" s="14"/>
      <c r="K30" s="14"/>
      <c r="L30" s="14"/>
      <c r="M30" s="13"/>
      <c r="N30" s="14"/>
      <c r="O30" s="14"/>
      <c r="P30" s="14"/>
      <c r="Q30" s="13"/>
      <c r="R30" s="14"/>
      <c r="S30" s="14"/>
      <c r="T30" s="14"/>
      <c r="U30" s="13"/>
      <c r="V30" s="14"/>
      <c r="W30" s="14"/>
      <c r="X30" s="14"/>
      <c r="Y30" s="14"/>
      <c r="Z30" s="13"/>
      <c r="AA30" s="14"/>
      <c r="AB30" s="14"/>
      <c r="AC30" s="14"/>
      <c r="AD30" s="13"/>
      <c r="AE30" s="14"/>
      <c r="AF30" s="14"/>
      <c r="AG30" s="14"/>
      <c r="AH30" s="14"/>
      <c r="AI30" s="13"/>
      <c r="AJ30" s="14"/>
      <c r="AK30" s="14"/>
      <c r="AL30" s="14"/>
      <c r="AM30" s="13"/>
      <c r="AN30" s="14"/>
      <c r="AO30" s="14"/>
      <c r="AP30" s="14"/>
    </row>
    <row r="31" spans="1:42" ht="15.6" customHeight="1" x14ac:dyDescent="0.25">
      <c r="A31" s="8" t="s">
        <v>65</v>
      </c>
      <c r="B31" s="15" t="s">
        <v>66</v>
      </c>
      <c r="C31" s="10">
        <v>46230</v>
      </c>
      <c r="D31" s="10">
        <v>46230</v>
      </c>
      <c r="E31" s="8">
        <f t="shared" si="2"/>
        <v>0</v>
      </c>
      <c r="F31" s="16" t="s">
        <v>28</v>
      </c>
      <c r="G31" s="12" t="s">
        <v>115</v>
      </c>
      <c r="H31" s="13"/>
      <c r="I31" s="14"/>
      <c r="J31" s="14"/>
      <c r="K31" s="14"/>
      <c r="L31" s="14"/>
      <c r="M31" s="13"/>
      <c r="N31" s="14"/>
      <c r="O31" s="14"/>
      <c r="P31" s="14"/>
      <c r="Q31" s="13"/>
      <c r="R31" s="14"/>
      <c r="S31" s="14"/>
      <c r="T31" s="14"/>
      <c r="U31" s="13"/>
      <c r="V31" s="14"/>
      <c r="W31" s="14"/>
      <c r="X31" s="14"/>
      <c r="Y31" s="14"/>
      <c r="Z31" s="13"/>
      <c r="AA31" s="14"/>
      <c r="AB31" s="14"/>
      <c r="AC31" s="14"/>
      <c r="AD31" s="13"/>
      <c r="AE31" s="14"/>
      <c r="AF31" s="14"/>
      <c r="AG31" s="14"/>
      <c r="AH31" s="14"/>
      <c r="AI31" s="13"/>
      <c r="AJ31" s="14"/>
      <c r="AK31" s="14"/>
      <c r="AL31" s="14"/>
      <c r="AM31" s="13"/>
      <c r="AN31" s="14"/>
      <c r="AO31" s="14"/>
      <c r="AP31" s="14"/>
    </row>
    <row r="32" spans="1:42" ht="15.6" customHeight="1" x14ac:dyDescent="0.25">
      <c r="A32" s="8" t="s">
        <v>67</v>
      </c>
      <c r="B32" s="9" t="s">
        <v>68</v>
      </c>
      <c r="C32" s="10">
        <v>46230</v>
      </c>
      <c r="D32" s="10">
        <v>46235</v>
      </c>
      <c r="E32" s="8">
        <f t="shared" si="2"/>
        <v>6</v>
      </c>
      <c r="F32" s="11" t="s">
        <v>19</v>
      </c>
      <c r="G32" s="12" t="s">
        <v>69</v>
      </c>
      <c r="H32" s="13"/>
      <c r="I32" s="14"/>
      <c r="J32" s="14"/>
      <c r="K32" s="14"/>
      <c r="L32" s="14"/>
      <c r="M32" s="13"/>
      <c r="N32" s="14"/>
      <c r="O32" s="14"/>
      <c r="P32" s="14"/>
      <c r="Q32" s="13"/>
      <c r="R32" s="14"/>
      <c r="S32" s="14"/>
      <c r="T32" s="14"/>
      <c r="U32" s="13"/>
      <c r="V32" s="14"/>
      <c r="W32" s="14"/>
      <c r="X32" s="14"/>
      <c r="Y32" s="14"/>
      <c r="Z32" s="13"/>
      <c r="AA32" s="14"/>
      <c r="AB32" s="14"/>
      <c r="AC32" s="14"/>
      <c r="AD32" s="13"/>
      <c r="AE32" s="14"/>
      <c r="AF32" s="14"/>
      <c r="AG32" s="14"/>
      <c r="AH32" s="14"/>
      <c r="AI32" s="13"/>
      <c r="AJ32" s="14"/>
      <c r="AK32" s="14"/>
      <c r="AL32" s="14"/>
      <c r="AM32" s="13"/>
      <c r="AN32" s="14"/>
      <c r="AO32" s="14"/>
      <c r="AP32" s="14"/>
    </row>
    <row r="33" spans="1:42" ht="15.6" customHeight="1" x14ac:dyDescent="0.25">
      <c r="A33" s="8" t="s">
        <v>70</v>
      </c>
      <c r="B33" s="9" t="s">
        <v>71</v>
      </c>
      <c r="C33" s="10">
        <v>46231</v>
      </c>
      <c r="D33" s="10">
        <v>46239</v>
      </c>
      <c r="E33" s="8">
        <f t="shared" si="2"/>
        <v>9</v>
      </c>
      <c r="F33" s="11" t="s">
        <v>19</v>
      </c>
      <c r="G33" s="12" t="s">
        <v>116</v>
      </c>
      <c r="H33" s="13"/>
      <c r="I33" s="14"/>
      <c r="J33" s="14"/>
      <c r="K33" s="14"/>
      <c r="L33" s="14"/>
      <c r="M33" s="13"/>
      <c r="N33" s="14"/>
      <c r="O33" s="14"/>
      <c r="P33" s="14"/>
      <c r="Q33" s="13"/>
      <c r="R33" s="14"/>
      <c r="S33" s="14"/>
      <c r="T33" s="14"/>
      <c r="U33" s="13"/>
      <c r="V33" s="14"/>
      <c r="W33" s="14"/>
      <c r="X33" s="14"/>
      <c r="Y33" s="14"/>
      <c r="Z33" s="13"/>
      <c r="AA33" s="14"/>
      <c r="AB33" s="14"/>
      <c r="AC33" s="14"/>
      <c r="AD33" s="13"/>
      <c r="AE33" s="14"/>
      <c r="AF33" s="14"/>
      <c r="AG33" s="14"/>
      <c r="AH33" s="14"/>
      <c r="AI33" s="13"/>
      <c r="AJ33" s="14"/>
      <c r="AK33" s="14"/>
      <c r="AL33" s="14"/>
      <c r="AM33" s="13"/>
      <c r="AN33" s="14"/>
      <c r="AO33" s="14"/>
      <c r="AP33" s="14"/>
    </row>
    <row r="34" spans="1:42" ht="17.100000000000001" customHeight="1" x14ac:dyDescent="0.25">
      <c r="A34" s="5"/>
      <c r="B34" s="20" t="s">
        <v>72</v>
      </c>
      <c r="C34" s="5"/>
      <c r="D34" s="5"/>
      <c r="E34" s="5"/>
      <c r="F34" s="5"/>
      <c r="G34" s="5"/>
      <c r="H34" s="7"/>
      <c r="I34" s="5"/>
      <c r="J34" s="5"/>
      <c r="K34" s="5"/>
      <c r="L34" s="5"/>
      <c r="M34" s="7"/>
      <c r="N34" s="5"/>
      <c r="O34" s="5"/>
      <c r="P34" s="5"/>
      <c r="Q34" s="7"/>
      <c r="R34" s="5"/>
      <c r="S34" s="5"/>
      <c r="T34" s="5"/>
      <c r="U34" s="7"/>
      <c r="V34" s="5"/>
      <c r="W34" s="5"/>
      <c r="X34" s="5"/>
      <c r="Y34" s="5"/>
      <c r="Z34" s="7"/>
      <c r="AA34" s="5"/>
      <c r="AB34" s="5"/>
      <c r="AC34" s="5"/>
      <c r="AD34" s="7"/>
      <c r="AE34" s="5"/>
      <c r="AF34" s="5"/>
      <c r="AG34" s="5"/>
      <c r="AH34" s="5"/>
      <c r="AI34" s="7"/>
      <c r="AJ34" s="5"/>
      <c r="AK34" s="5"/>
      <c r="AL34" s="5"/>
      <c r="AM34" s="7"/>
      <c r="AN34" s="5"/>
      <c r="AO34" s="5"/>
      <c r="AP34" s="5"/>
    </row>
    <row r="35" spans="1:42" ht="15.6" customHeight="1" x14ac:dyDescent="0.25">
      <c r="A35" s="8" t="s">
        <v>73</v>
      </c>
      <c r="B35" s="9" t="s">
        <v>127</v>
      </c>
      <c r="C35" s="10">
        <v>46226</v>
      </c>
      <c r="D35" s="10">
        <v>46237</v>
      </c>
      <c r="E35" s="8">
        <f>IF($F35="Hito",0,$D35-$C35+1)</f>
        <v>12</v>
      </c>
      <c r="F35" s="11" t="s">
        <v>19</v>
      </c>
      <c r="G35" s="12" t="s">
        <v>74</v>
      </c>
      <c r="H35" s="13"/>
      <c r="I35" s="14"/>
      <c r="J35" s="14"/>
      <c r="K35" s="14"/>
      <c r="L35" s="14"/>
      <c r="M35" s="13"/>
      <c r="N35" s="14"/>
      <c r="O35" s="14"/>
      <c r="P35" s="14"/>
      <c r="Q35" s="13"/>
      <c r="R35" s="14"/>
      <c r="S35" s="14"/>
      <c r="T35" s="14"/>
      <c r="U35" s="13"/>
      <c r="V35" s="14"/>
      <c r="W35" s="14"/>
      <c r="X35" s="14"/>
      <c r="Y35" s="14"/>
      <c r="Z35" s="13"/>
      <c r="AA35" s="14"/>
      <c r="AB35" s="14"/>
      <c r="AC35" s="14"/>
      <c r="AD35" s="13"/>
      <c r="AE35" s="14"/>
      <c r="AF35" s="14"/>
      <c r="AG35" s="14"/>
      <c r="AH35" s="14"/>
      <c r="AI35" s="13"/>
      <c r="AJ35" s="14"/>
      <c r="AK35" s="14"/>
      <c r="AL35" s="14"/>
      <c r="AM35" s="13"/>
      <c r="AN35" s="14"/>
      <c r="AO35" s="14"/>
      <c r="AP35" s="14"/>
    </row>
    <row r="36" spans="1:42" ht="15.6" customHeight="1" x14ac:dyDescent="0.25">
      <c r="A36" s="8" t="s">
        <v>75</v>
      </c>
      <c r="B36" s="15" t="s">
        <v>76</v>
      </c>
      <c r="C36" s="10">
        <v>46237</v>
      </c>
      <c r="D36" s="10">
        <v>46237</v>
      </c>
      <c r="E36" s="8">
        <f>IF($F36="Hito",0,$D36-$C36+1)</f>
        <v>0</v>
      </c>
      <c r="F36" s="16" t="s">
        <v>28</v>
      </c>
      <c r="G36" s="12" t="s">
        <v>77</v>
      </c>
      <c r="H36" s="13"/>
      <c r="I36" s="14"/>
      <c r="J36" s="14"/>
      <c r="K36" s="14"/>
      <c r="L36" s="14"/>
      <c r="M36" s="13"/>
      <c r="N36" s="14"/>
      <c r="O36" s="14"/>
      <c r="P36" s="14"/>
      <c r="Q36" s="13"/>
      <c r="R36" s="14"/>
      <c r="S36" s="14"/>
      <c r="T36" s="14"/>
      <c r="U36" s="13"/>
      <c r="V36" s="14"/>
      <c r="W36" s="14"/>
      <c r="X36" s="14"/>
      <c r="Y36" s="14"/>
      <c r="Z36" s="13"/>
      <c r="AA36" s="14"/>
      <c r="AB36" s="14"/>
      <c r="AC36" s="14"/>
      <c r="AD36" s="13"/>
      <c r="AE36" s="14"/>
      <c r="AF36" s="14"/>
      <c r="AG36" s="14"/>
      <c r="AH36" s="14"/>
      <c r="AI36" s="13"/>
      <c r="AJ36" s="14"/>
      <c r="AK36" s="14"/>
      <c r="AL36" s="14"/>
      <c r="AM36" s="13"/>
      <c r="AN36" s="14"/>
      <c r="AO36" s="14"/>
      <c r="AP36" s="14"/>
    </row>
    <row r="37" spans="1:42" ht="15.6" customHeight="1" x14ac:dyDescent="0.25">
      <c r="A37" s="8" t="s">
        <v>78</v>
      </c>
      <c r="B37" s="9" t="s">
        <v>79</v>
      </c>
      <c r="C37" s="10">
        <v>46245</v>
      </c>
      <c r="D37" s="10">
        <v>46251</v>
      </c>
      <c r="E37" s="8">
        <f>IF($F37="Hito",0,$D37-$C37+1)</f>
        <v>7</v>
      </c>
      <c r="F37" s="11" t="s">
        <v>19</v>
      </c>
      <c r="G37" s="12" t="s">
        <v>117</v>
      </c>
      <c r="H37" s="13"/>
      <c r="I37" s="14"/>
      <c r="J37" s="14"/>
      <c r="K37" s="14"/>
      <c r="L37" s="14"/>
      <c r="M37" s="13"/>
      <c r="N37" s="14"/>
      <c r="O37" s="14"/>
      <c r="P37" s="14"/>
      <c r="Q37" s="13"/>
      <c r="R37" s="14"/>
      <c r="S37" s="14"/>
      <c r="T37" s="14"/>
      <c r="U37" s="13"/>
      <c r="V37" s="14"/>
      <c r="W37" s="14"/>
      <c r="X37" s="14"/>
      <c r="Y37" s="14"/>
      <c r="Z37" s="13"/>
      <c r="AA37" s="14"/>
      <c r="AB37" s="14"/>
      <c r="AC37" s="14"/>
      <c r="AD37" s="13"/>
      <c r="AE37" s="14"/>
      <c r="AF37" s="14"/>
      <c r="AG37" s="14"/>
      <c r="AH37" s="14"/>
      <c r="AI37" s="13"/>
      <c r="AJ37" s="14"/>
      <c r="AK37" s="14"/>
      <c r="AL37" s="14"/>
      <c r="AM37" s="13"/>
      <c r="AN37" s="14"/>
      <c r="AO37" s="14"/>
      <c r="AP37" s="14"/>
    </row>
    <row r="38" spans="1:42" ht="15.6" customHeight="1" x14ac:dyDescent="0.25">
      <c r="A38" s="8" t="s">
        <v>80</v>
      </c>
      <c r="B38" s="9" t="s">
        <v>81</v>
      </c>
      <c r="C38" s="10">
        <v>46247</v>
      </c>
      <c r="D38" s="10">
        <v>46249</v>
      </c>
      <c r="E38" s="8">
        <f>IF($F38="Hito",0,$D38-$C38+1)</f>
        <v>3</v>
      </c>
      <c r="F38" s="11" t="s">
        <v>19</v>
      </c>
      <c r="G38" s="12" t="s">
        <v>82</v>
      </c>
      <c r="H38" s="13"/>
      <c r="I38" s="14"/>
      <c r="J38" s="14"/>
      <c r="K38" s="14"/>
      <c r="L38" s="14"/>
      <c r="M38" s="13"/>
      <c r="N38" s="14"/>
      <c r="O38" s="14"/>
      <c r="P38" s="14"/>
      <c r="Q38" s="13"/>
      <c r="R38" s="14"/>
      <c r="S38" s="14"/>
      <c r="T38" s="14"/>
      <c r="U38" s="13"/>
      <c r="V38" s="14"/>
      <c r="W38" s="14"/>
      <c r="X38" s="14"/>
      <c r="Y38" s="14"/>
      <c r="Z38" s="13"/>
      <c r="AA38" s="14"/>
      <c r="AB38" s="14"/>
      <c r="AC38" s="14"/>
      <c r="AD38" s="13"/>
      <c r="AE38" s="14"/>
      <c r="AF38" s="14"/>
      <c r="AG38" s="14"/>
      <c r="AH38" s="14"/>
      <c r="AI38" s="13"/>
      <c r="AJ38" s="14"/>
      <c r="AK38" s="14"/>
      <c r="AL38" s="14"/>
      <c r="AM38" s="13"/>
      <c r="AN38" s="14"/>
      <c r="AO38" s="14"/>
      <c r="AP38" s="14"/>
    </row>
    <row r="39" spans="1:42" ht="17.100000000000001" customHeight="1" x14ac:dyDescent="0.25">
      <c r="A39" s="5"/>
      <c r="B39" s="21" t="s">
        <v>83</v>
      </c>
      <c r="C39" s="5"/>
      <c r="D39" s="5"/>
      <c r="E39" s="5"/>
      <c r="F39" s="5"/>
      <c r="G39" s="5"/>
      <c r="H39" s="7"/>
      <c r="I39" s="5"/>
      <c r="J39" s="5"/>
      <c r="K39" s="5"/>
      <c r="L39" s="5"/>
      <c r="M39" s="7"/>
      <c r="N39" s="5"/>
      <c r="O39" s="5"/>
      <c r="P39" s="5"/>
      <c r="Q39" s="7"/>
      <c r="R39" s="5"/>
      <c r="S39" s="5"/>
      <c r="T39" s="5"/>
      <c r="U39" s="7"/>
      <c r="V39" s="5"/>
      <c r="W39" s="5"/>
      <c r="X39" s="5"/>
      <c r="Y39" s="5"/>
      <c r="Z39" s="7"/>
      <c r="AA39" s="5"/>
      <c r="AB39" s="5"/>
      <c r="AC39" s="5"/>
      <c r="AD39" s="7"/>
      <c r="AE39" s="5"/>
      <c r="AF39" s="5"/>
      <c r="AG39" s="5"/>
      <c r="AH39" s="5"/>
      <c r="AI39" s="7"/>
      <c r="AJ39" s="5"/>
      <c r="AK39" s="5"/>
      <c r="AL39" s="5"/>
      <c r="AM39" s="7"/>
      <c r="AN39" s="5"/>
      <c r="AO39" s="5"/>
      <c r="AP39" s="5"/>
    </row>
    <row r="40" spans="1:42" ht="15.6" customHeight="1" x14ac:dyDescent="0.25">
      <c r="A40" s="8" t="s">
        <v>84</v>
      </c>
      <c r="B40" s="9" t="s">
        <v>128</v>
      </c>
      <c r="C40" s="10">
        <v>46251</v>
      </c>
      <c r="D40" s="10">
        <v>46261</v>
      </c>
      <c r="E40" s="8">
        <f t="shared" ref="E40:E46" si="3">IF($F40="Hito",0,$D40-$C40+1)</f>
        <v>11</v>
      </c>
      <c r="F40" s="11" t="s">
        <v>19</v>
      </c>
      <c r="G40" s="12" t="s">
        <v>85</v>
      </c>
      <c r="H40" s="13"/>
      <c r="I40" s="14"/>
      <c r="J40" s="14"/>
      <c r="K40" s="14"/>
      <c r="L40" s="14"/>
      <c r="M40" s="13"/>
      <c r="N40" s="14"/>
      <c r="O40" s="14"/>
      <c r="P40" s="14"/>
      <c r="Q40" s="13"/>
      <c r="R40" s="14"/>
      <c r="S40" s="14"/>
      <c r="T40" s="14"/>
      <c r="U40" s="13"/>
      <c r="V40" s="14"/>
      <c r="W40" s="14"/>
      <c r="X40" s="14"/>
      <c r="Y40" s="14"/>
      <c r="Z40" s="13"/>
      <c r="AA40" s="14"/>
      <c r="AB40" s="14"/>
      <c r="AC40" s="14"/>
      <c r="AD40" s="13"/>
      <c r="AE40" s="14"/>
      <c r="AF40" s="14"/>
      <c r="AG40" s="14"/>
      <c r="AH40" s="14"/>
      <c r="AI40" s="13"/>
      <c r="AJ40" s="14"/>
      <c r="AK40" s="14"/>
      <c r="AL40" s="14"/>
      <c r="AM40" s="13"/>
      <c r="AN40" s="14"/>
      <c r="AO40" s="14"/>
      <c r="AP40" s="14"/>
    </row>
    <row r="41" spans="1:42" ht="15.6" customHeight="1" x14ac:dyDescent="0.25">
      <c r="A41" s="8" t="s">
        <v>86</v>
      </c>
      <c r="B41" s="9" t="s">
        <v>87</v>
      </c>
      <c r="C41" s="10">
        <v>46251</v>
      </c>
      <c r="D41" s="10">
        <v>46253</v>
      </c>
      <c r="E41" s="8">
        <f t="shared" si="3"/>
        <v>3</v>
      </c>
      <c r="F41" s="11" t="s">
        <v>19</v>
      </c>
      <c r="G41" s="12" t="s">
        <v>88</v>
      </c>
      <c r="H41" s="13"/>
      <c r="I41" s="14"/>
      <c r="J41" s="14"/>
      <c r="K41" s="14"/>
      <c r="L41" s="14"/>
      <c r="M41" s="13"/>
      <c r="N41" s="14"/>
      <c r="O41" s="14"/>
      <c r="P41" s="14"/>
      <c r="Q41" s="13"/>
      <c r="R41" s="14"/>
      <c r="S41" s="14"/>
      <c r="T41" s="14"/>
      <c r="U41" s="13"/>
      <c r="V41" s="14"/>
      <c r="W41" s="14"/>
      <c r="X41" s="14"/>
      <c r="Y41" s="14"/>
      <c r="Z41" s="13"/>
      <c r="AA41" s="14"/>
      <c r="AB41" s="14"/>
      <c r="AC41" s="14"/>
      <c r="AD41" s="13"/>
      <c r="AE41" s="14"/>
      <c r="AF41" s="14"/>
      <c r="AG41" s="14"/>
      <c r="AH41" s="14"/>
      <c r="AI41" s="13"/>
      <c r="AJ41" s="14"/>
      <c r="AK41" s="14"/>
      <c r="AL41" s="14"/>
      <c r="AM41" s="13"/>
      <c r="AN41" s="14"/>
      <c r="AO41" s="14"/>
      <c r="AP41" s="14"/>
    </row>
    <row r="42" spans="1:42" ht="15.6" customHeight="1" x14ac:dyDescent="0.25">
      <c r="A42" s="8" t="s">
        <v>89</v>
      </c>
      <c r="B42" s="9" t="s">
        <v>90</v>
      </c>
      <c r="C42" s="10">
        <v>46255</v>
      </c>
      <c r="D42" s="10">
        <v>46256</v>
      </c>
      <c r="E42" s="8">
        <f t="shared" si="3"/>
        <v>2</v>
      </c>
      <c r="F42" s="11" t="s">
        <v>19</v>
      </c>
      <c r="G42" s="12" t="s">
        <v>118</v>
      </c>
      <c r="H42" s="13"/>
      <c r="I42" s="14"/>
      <c r="J42" s="14"/>
      <c r="K42" s="14"/>
      <c r="L42" s="14"/>
      <c r="M42" s="13"/>
      <c r="N42" s="14"/>
      <c r="O42" s="14"/>
      <c r="P42" s="14"/>
      <c r="Q42" s="13"/>
      <c r="R42" s="14"/>
      <c r="S42" s="14"/>
      <c r="T42" s="14"/>
      <c r="U42" s="13"/>
      <c r="V42" s="14"/>
      <c r="W42" s="14"/>
      <c r="X42" s="14"/>
      <c r="Y42" s="14"/>
      <c r="Z42" s="13"/>
      <c r="AA42" s="14"/>
      <c r="AB42" s="14"/>
      <c r="AC42" s="14"/>
      <c r="AD42" s="13"/>
      <c r="AE42" s="14"/>
      <c r="AF42" s="14"/>
      <c r="AG42" s="14"/>
      <c r="AH42" s="14"/>
      <c r="AI42" s="13"/>
      <c r="AJ42" s="14"/>
      <c r="AK42" s="14"/>
      <c r="AL42" s="14"/>
      <c r="AM42" s="13"/>
      <c r="AN42" s="14"/>
      <c r="AO42" s="14"/>
      <c r="AP42" s="14"/>
    </row>
    <row r="43" spans="1:42" ht="15.6" customHeight="1" x14ac:dyDescent="0.25">
      <c r="A43" s="8" t="s">
        <v>91</v>
      </c>
      <c r="B43" s="9" t="s">
        <v>92</v>
      </c>
      <c r="C43" s="10">
        <v>46261</v>
      </c>
      <c r="D43" s="10">
        <v>46269</v>
      </c>
      <c r="E43" s="8">
        <f t="shared" si="3"/>
        <v>9</v>
      </c>
      <c r="F43" s="11" t="s">
        <v>19</v>
      </c>
      <c r="G43" s="12" t="s">
        <v>93</v>
      </c>
      <c r="H43" s="13"/>
      <c r="I43" s="14"/>
      <c r="J43" s="14"/>
      <c r="K43" s="14"/>
      <c r="L43" s="14"/>
      <c r="M43" s="13"/>
      <c r="N43" s="14"/>
      <c r="O43" s="14"/>
      <c r="P43" s="14"/>
      <c r="Q43" s="13"/>
      <c r="R43" s="14"/>
      <c r="S43" s="14"/>
      <c r="T43" s="14"/>
      <c r="U43" s="13"/>
      <c r="V43" s="14"/>
      <c r="W43" s="14"/>
      <c r="X43" s="14"/>
      <c r="Y43" s="14"/>
      <c r="Z43" s="13"/>
      <c r="AA43" s="14"/>
      <c r="AB43" s="14"/>
      <c r="AC43" s="14"/>
      <c r="AD43" s="13"/>
      <c r="AE43" s="14"/>
      <c r="AF43" s="14"/>
      <c r="AG43" s="14"/>
      <c r="AH43" s="14"/>
      <c r="AI43" s="13"/>
      <c r="AJ43" s="14"/>
      <c r="AK43" s="14"/>
      <c r="AL43" s="14"/>
      <c r="AM43" s="13"/>
      <c r="AN43" s="14"/>
      <c r="AO43" s="14"/>
      <c r="AP43" s="14"/>
    </row>
    <row r="44" spans="1:42" ht="15.6" customHeight="1" x14ac:dyDescent="0.25">
      <c r="A44" s="8" t="s">
        <v>94</v>
      </c>
      <c r="B44" s="9" t="s">
        <v>95</v>
      </c>
      <c r="C44" s="10">
        <v>46266</v>
      </c>
      <c r="D44" s="10">
        <v>46285</v>
      </c>
      <c r="E44" s="8">
        <f t="shared" si="3"/>
        <v>20</v>
      </c>
      <c r="F44" s="11" t="s">
        <v>19</v>
      </c>
      <c r="G44" s="12" t="s">
        <v>96</v>
      </c>
      <c r="H44" s="13"/>
      <c r="I44" s="14"/>
      <c r="J44" s="14"/>
      <c r="K44" s="14"/>
      <c r="L44" s="14"/>
      <c r="M44" s="13"/>
      <c r="N44" s="14"/>
      <c r="O44" s="14"/>
      <c r="P44" s="14"/>
      <c r="Q44" s="13"/>
      <c r="R44" s="14"/>
      <c r="S44" s="14"/>
      <c r="T44" s="14"/>
      <c r="U44" s="13"/>
      <c r="V44" s="14"/>
      <c r="W44" s="14"/>
      <c r="X44" s="14"/>
      <c r="Y44" s="14"/>
      <c r="Z44" s="13"/>
      <c r="AA44" s="14"/>
      <c r="AB44" s="14"/>
      <c r="AC44" s="14"/>
      <c r="AD44" s="13"/>
      <c r="AE44" s="14"/>
      <c r="AF44" s="14"/>
      <c r="AG44" s="14"/>
      <c r="AH44" s="14"/>
      <c r="AI44" s="13"/>
      <c r="AJ44" s="14"/>
      <c r="AK44" s="14"/>
      <c r="AL44" s="14"/>
      <c r="AM44" s="13"/>
      <c r="AN44" s="14"/>
      <c r="AO44" s="14"/>
      <c r="AP44" s="14"/>
    </row>
    <row r="45" spans="1:42" ht="15.6" customHeight="1" x14ac:dyDescent="0.25">
      <c r="A45" s="8" t="s">
        <v>97</v>
      </c>
      <c r="B45" s="9" t="s">
        <v>129</v>
      </c>
      <c r="C45" s="10">
        <v>46272</v>
      </c>
      <c r="D45" s="10">
        <v>46300</v>
      </c>
      <c r="E45" s="8">
        <f t="shared" si="3"/>
        <v>29</v>
      </c>
      <c r="F45" s="11" t="s">
        <v>98</v>
      </c>
      <c r="G45" s="12" t="s">
        <v>99</v>
      </c>
      <c r="H45" s="13"/>
      <c r="I45" s="14"/>
      <c r="J45" s="14"/>
      <c r="K45" s="14"/>
      <c r="L45" s="14"/>
      <c r="M45" s="13"/>
      <c r="N45" s="14"/>
      <c r="O45" s="14"/>
      <c r="P45" s="14"/>
      <c r="Q45" s="13"/>
      <c r="R45" s="14"/>
      <c r="S45" s="14"/>
      <c r="T45" s="14"/>
      <c r="U45" s="13"/>
      <c r="V45" s="14"/>
      <c r="W45" s="14"/>
      <c r="X45" s="14"/>
      <c r="Y45" s="14"/>
      <c r="Z45" s="13"/>
      <c r="AA45" s="14"/>
      <c r="AB45" s="14"/>
      <c r="AC45" s="14"/>
      <c r="AD45" s="13"/>
      <c r="AE45" s="14"/>
      <c r="AF45" s="14"/>
      <c r="AG45" s="14"/>
      <c r="AH45" s="14"/>
      <c r="AI45" s="13"/>
      <c r="AJ45" s="14"/>
      <c r="AK45" s="14"/>
      <c r="AL45" s="14"/>
      <c r="AM45" s="13"/>
      <c r="AN45" s="14"/>
      <c r="AO45" s="14"/>
      <c r="AP45" s="14"/>
    </row>
    <row r="46" spans="1:42" ht="15.6" customHeight="1" x14ac:dyDescent="0.25">
      <c r="A46" s="8" t="s">
        <v>100</v>
      </c>
      <c r="B46" s="15" t="s">
        <v>105</v>
      </c>
      <c r="C46" s="10">
        <v>46300</v>
      </c>
      <c r="D46" s="10">
        <v>46300</v>
      </c>
      <c r="E46" s="8">
        <f t="shared" si="3"/>
        <v>0</v>
      </c>
      <c r="F46" s="16" t="s">
        <v>28</v>
      </c>
      <c r="G46" s="12" t="s">
        <v>119</v>
      </c>
      <c r="H46" s="13"/>
      <c r="I46" s="14"/>
      <c r="J46" s="14"/>
      <c r="K46" s="14"/>
      <c r="L46" s="14"/>
      <c r="M46" s="13"/>
      <c r="N46" s="14"/>
      <c r="O46" s="14"/>
      <c r="P46" s="14"/>
      <c r="Q46" s="13"/>
      <c r="R46" s="14"/>
      <c r="S46" s="14"/>
      <c r="T46" s="14"/>
      <c r="U46" s="13"/>
      <c r="V46" s="14"/>
      <c r="W46" s="14"/>
      <c r="X46" s="14"/>
      <c r="Y46" s="14"/>
      <c r="Z46" s="13"/>
      <c r="AA46" s="14"/>
      <c r="AB46" s="14"/>
      <c r="AC46" s="14"/>
      <c r="AD46" s="13"/>
      <c r="AE46" s="14"/>
      <c r="AF46" s="14"/>
      <c r="AG46" s="14"/>
      <c r="AH46" s="14"/>
      <c r="AI46" s="13"/>
      <c r="AJ46" s="14"/>
      <c r="AK46" s="14"/>
      <c r="AL46" s="14"/>
      <c r="AM46" s="13"/>
      <c r="AN46" s="14"/>
      <c r="AO46" s="14"/>
      <c r="AP46" s="14"/>
    </row>
    <row r="48" spans="1:42" x14ac:dyDescent="0.25">
      <c r="B48" s="22" t="s">
        <v>101</v>
      </c>
    </row>
    <row r="49" spans="1:2" x14ac:dyDescent="0.25">
      <c r="A49" s="23"/>
      <c r="B49" s="35" t="s">
        <v>16</v>
      </c>
    </row>
    <row r="50" spans="1:2" x14ac:dyDescent="0.25">
      <c r="A50" s="24"/>
      <c r="B50" s="35" t="s">
        <v>30</v>
      </c>
    </row>
    <row r="51" spans="1:2" x14ac:dyDescent="0.25">
      <c r="A51" s="25"/>
      <c r="B51" s="35" t="s">
        <v>40</v>
      </c>
    </row>
    <row r="52" spans="1:2" x14ac:dyDescent="0.25">
      <c r="A52" s="26"/>
      <c r="B52" s="35" t="s">
        <v>56</v>
      </c>
    </row>
    <row r="53" spans="1:2" x14ac:dyDescent="0.25">
      <c r="A53" s="27"/>
      <c r="B53" s="35" t="s">
        <v>72</v>
      </c>
    </row>
    <row r="54" spans="1:2" x14ac:dyDescent="0.25">
      <c r="A54" s="28"/>
      <c r="B54" s="35" t="s">
        <v>83</v>
      </c>
    </row>
    <row r="55" spans="1:2" x14ac:dyDescent="0.25">
      <c r="A55" s="29"/>
      <c r="B55" s="35" t="s">
        <v>28</v>
      </c>
    </row>
    <row r="56" spans="1:2" x14ac:dyDescent="0.25">
      <c r="A56" s="30"/>
      <c r="B56" s="35" t="s">
        <v>102</v>
      </c>
    </row>
    <row r="57" spans="1:2" x14ac:dyDescent="0.25">
      <c r="A57" s="31"/>
      <c r="B57" s="35" t="s">
        <v>103</v>
      </c>
    </row>
    <row r="58" spans="1:2" x14ac:dyDescent="0.25">
      <c r="B58" s="35"/>
    </row>
    <row r="59" spans="1:2" x14ac:dyDescent="0.25">
      <c r="B59" s="36" t="s">
        <v>104</v>
      </c>
    </row>
  </sheetData>
  <mergeCells count="8">
    <mergeCell ref="M5:P5"/>
    <mergeCell ref="H5:L5"/>
    <mergeCell ref="AI5:AL5"/>
    <mergeCell ref="AM5:AP5"/>
    <mergeCell ref="U5:Y5"/>
    <mergeCell ref="Q5:T5"/>
    <mergeCell ref="AD5:AH5"/>
    <mergeCell ref="Z5:AC5"/>
  </mergeCells>
  <phoneticPr fontId="17" type="noConversion"/>
  <conditionalFormatting sqref="H7:AP46">
    <cfRule type="expression" dxfId="16" priority="35">
      <formula>AND(TODAY()&gt;=H$6,TODAY()&lt;=H$6+6)</formula>
    </cfRule>
  </conditionalFormatting>
  <conditionalFormatting sqref="H8:AP8 H10:AP11">
    <cfRule type="expression" dxfId="15" priority="2">
      <formula>AND($C8&lt;=H$6+6,$D8&gt;=H$6)</formula>
    </cfRule>
  </conditionalFormatting>
  <conditionalFormatting sqref="H9:AP9">
    <cfRule type="expression" dxfId="14" priority="1">
      <formula>AND($C9&lt;=H$6+6,$D9&gt;=H$6)</formula>
    </cfRule>
  </conditionalFormatting>
  <conditionalFormatting sqref="H12:AP12">
    <cfRule type="expression" dxfId="13" priority="5">
      <formula>AND($C12&lt;=H$6+6,$D12&gt;=H$6)</formula>
    </cfRule>
  </conditionalFormatting>
  <conditionalFormatting sqref="H14:AP18">
    <cfRule type="expression" dxfId="12" priority="6">
      <formula>AND($C14&lt;=H$6+6,$D14&gt;=H$6)</formula>
    </cfRule>
  </conditionalFormatting>
  <conditionalFormatting sqref="H19:AP19">
    <cfRule type="expression" dxfId="11" priority="11">
      <formula>AND($C19&lt;=H$6+6,$D19&gt;=H$6)</formula>
    </cfRule>
  </conditionalFormatting>
  <conditionalFormatting sqref="H21:AP25">
    <cfRule type="expression" dxfId="10" priority="12">
      <formula>AND($C21&lt;=H$6+6,$D21&gt;=H$6)</formula>
    </cfRule>
  </conditionalFormatting>
  <conditionalFormatting sqref="H26:AP26">
    <cfRule type="expression" dxfId="9" priority="17">
      <formula>AND($C26&lt;=H$6+6,$D26&gt;=H$6)</formula>
    </cfRule>
  </conditionalFormatting>
  <conditionalFormatting sqref="H28:AP30">
    <cfRule type="expression" dxfId="8" priority="18">
      <formula>AND($C28&lt;=H$6+6,$D28&gt;=H$6)</formula>
    </cfRule>
  </conditionalFormatting>
  <conditionalFormatting sqref="H31:AP31">
    <cfRule type="expression" dxfId="7" priority="21">
      <formula>AND($C31&lt;=H$6+6,$D31&gt;=H$6)</formula>
    </cfRule>
  </conditionalFormatting>
  <conditionalFormatting sqref="H32:AP33">
    <cfRule type="expression" dxfId="6" priority="22">
      <formula>AND($C32&lt;=H$6+6,$D32&gt;=H$6)</formula>
    </cfRule>
  </conditionalFormatting>
  <conditionalFormatting sqref="H35:AP35">
    <cfRule type="expression" dxfId="5" priority="24">
      <formula>AND($C35&lt;=H$6+6,$D35&gt;=H$6)</formula>
    </cfRule>
  </conditionalFormatting>
  <conditionalFormatting sqref="H36:AP36">
    <cfRule type="expression" dxfId="4" priority="25">
      <formula>AND($C36&lt;=H$6+6,$D36&gt;=H$6)</formula>
    </cfRule>
  </conditionalFormatting>
  <conditionalFormatting sqref="H37:AP38">
    <cfRule type="expression" dxfId="3" priority="26">
      <formula>AND($C37&lt;=H$6+6,$D37&gt;=H$6)</formula>
    </cfRule>
  </conditionalFormatting>
  <conditionalFormatting sqref="H40:AP44">
    <cfRule type="expression" dxfId="2" priority="28">
      <formula>AND($C40&lt;=H$6+6,$D40&gt;=H$6)</formula>
    </cfRule>
  </conditionalFormatting>
  <conditionalFormatting sqref="H45:AP45">
    <cfRule type="expression" dxfId="1" priority="33">
      <formula>AND($C45&lt;=H$6+6,$D45&gt;=H$6)</formula>
    </cfRule>
  </conditionalFormatting>
  <conditionalFormatting sqref="H46:AP46">
    <cfRule type="expression" dxfId="0" priority="34">
      <formula>AND($C46&lt;=H$6+6,$D46&gt;=H$6)</formula>
    </cfRule>
  </conditionalFormatting>
  <pageMargins left="0.3" right="0.3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 final</vt:lpstr>
      <vt:lpstr>'Gantt final'!Área_de_impresión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De Palma</cp:lastModifiedBy>
  <dcterms:created xsi:type="dcterms:W3CDTF">2026-09-21T00:36:31Z</dcterms:created>
  <dcterms:modified xsi:type="dcterms:W3CDTF">2026-09-22T15:11:48Z</dcterms:modified>
</cp:coreProperties>
</file>